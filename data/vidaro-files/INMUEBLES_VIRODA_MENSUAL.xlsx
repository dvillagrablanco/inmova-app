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guti\Documents\ELENA\"/>
    </mc:Choice>
  </mc:AlternateContent>
  <xr:revisionPtr revIDLastSave="0" documentId="13_ncr:1_{C270B4B0-C9A1-4482-922F-63B61BBBD054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OFICINA AVD.EUROPA MADRID" sheetId="1" r:id="rId1"/>
    <sheet name="LOCAL BARQUILLO MADRID" sheetId="9" r:id="rId2"/>
    <sheet name="LOCALES REINA MADRID" sheetId="10" r:id="rId3"/>
    <sheet name="EDIFICIO PIAMONTE 23 MADRID" sheetId="11" r:id="rId4"/>
    <sheet name="NAVE AVD CUBA PALENCIA" sheetId="12" r:id="rId5"/>
    <sheet name="OFICINA VALLADOLID" sheetId="2" r:id="rId6"/>
    <sheet name="OFICINA PALENCIA" sheetId="8" r:id="rId7"/>
    <sheet name="PLAZAS ESPRONCEDA(MADRID)" sheetId="4" state="hidden" r:id="rId8"/>
    <sheet name="PLAZAS VALLADOLID" sheetId="3" r:id="rId9"/>
    <sheet name="PLAZAS M.PELAYO(PALENCIA)" sheetId="6" r:id="rId10"/>
    <sheet name="APARTAMENTOS BENIDORM" sheetId="7" r:id="rId11"/>
  </sheets>
  <definedNames>
    <definedName name="_xlnm._FilterDatabase" localSheetId="7" hidden="1">'PLAZAS ESPRONCEDA(MADRID)'!$A$1:$D$109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C22" i="6"/>
  <c r="C17" i="6"/>
  <c r="C18" i="6"/>
  <c r="C16" i="6"/>
  <c r="C13" i="6"/>
  <c r="C108" i="4"/>
  <c r="C107" i="4"/>
  <c r="C106" i="4"/>
  <c r="C105" i="4"/>
  <c r="C104" i="4"/>
  <c r="C103" i="4"/>
  <c r="C102" i="4"/>
  <c r="C101" i="4"/>
  <c r="C100" i="4"/>
  <c r="C99" i="4"/>
  <c r="C98" i="4"/>
  <c r="C97" i="4"/>
  <c r="C95" i="4"/>
  <c r="C94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7" i="4"/>
  <c r="C46" i="4"/>
  <c r="C45" i="4"/>
  <c r="C44" i="4"/>
  <c r="C43" i="4"/>
  <c r="C42" i="4"/>
  <c r="C41" i="4"/>
  <c r="C38" i="4"/>
  <c r="C40" i="4"/>
  <c r="C39" i="4"/>
  <c r="C30" i="4"/>
  <c r="C20" i="4"/>
  <c r="C3" i="4"/>
  <c r="C4" i="4"/>
  <c r="C5" i="4"/>
  <c r="C6" i="4"/>
  <c r="C7" i="4"/>
  <c r="C8" i="4"/>
  <c r="C9" i="4"/>
  <c r="C29" i="4"/>
  <c r="C28" i="4"/>
  <c r="C27" i="4"/>
  <c r="C26" i="4"/>
  <c r="C25" i="4"/>
  <c r="C24" i="4"/>
  <c r="C23" i="4"/>
  <c r="C22" i="4"/>
  <c r="C21" i="4"/>
  <c r="C19" i="4"/>
  <c r="C18" i="4"/>
  <c r="C17" i="4"/>
  <c r="C11" i="4"/>
  <c r="C12" i="4"/>
  <c r="C13" i="4"/>
  <c r="C14" i="4"/>
  <c r="C15" i="4"/>
  <c r="C16" i="4"/>
  <c r="C10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eguti</author>
  </authors>
  <commentList>
    <comment ref="A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TIENEN SANITRIT</t>
        </r>
      </text>
    </comment>
    <comment ref="A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TIENEN SANITRIT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eguti</author>
  </authors>
  <commentList>
    <comment ref="A1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mala:140€</t>
        </r>
      </text>
    </comment>
    <comment ref="A1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para vender</t>
        </r>
      </text>
    </comment>
    <comment ref="A20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mala</t>
        </r>
        <r>
          <rPr>
            <sz val="9"/>
            <color indexed="81"/>
            <rFont val="Tahoma"/>
            <family val="2"/>
          </rPr>
          <t xml:space="preserve">
EN VENTA</t>
        </r>
      </text>
    </comment>
    <comment ref="A25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para vender</t>
        </r>
      </text>
    </comment>
    <comment ref="A30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para vender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MALA</t>
        </r>
      </text>
    </comment>
    <comment ref="A52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MALA</t>
        </r>
      </text>
    </comment>
    <comment ref="A68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MALA</t>
        </r>
      </text>
    </comment>
    <comment ref="A76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 xml:space="preserve">un poco mala
</t>
        </r>
      </text>
    </comment>
    <comment ref="C83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coche+moto</t>
        </r>
      </text>
    </comment>
    <comment ref="A93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MALA</t>
        </r>
      </text>
    </comment>
    <comment ref="C95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COCHE+MOTO</t>
        </r>
      </text>
    </comment>
    <comment ref="A96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un poco mala</t>
        </r>
      </text>
    </comment>
    <comment ref="A109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mala</t>
        </r>
      </text>
    </comment>
  </commentList>
</comments>
</file>

<file path=xl/sharedStrings.xml><?xml version="1.0" encoding="utf-8"?>
<sst xmlns="http://schemas.openxmlformats.org/spreadsheetml/2006/main" count="441" uniqueCount="164">
  <si>
    <t>DISFASA</t>
  </si>
  <si>
    <t>Industrial y Comercial Facundo, S.L.U.(Incofasa)</t>
  </si>
  <si>
    <t>VIDARO INVERSIONES</t>
  </si>
  <si>
    <t>NETSERVICES</t>
  </si>
  <si>
    <t>INQUILINO</t>
  </si>
  <si>
    <t>FECHA CONTRATO</t>
  </si>
  <si>
    <t>FIN CONTRATO</t>
  </si>
  <si>
    <t>X</t>
  </si>
  <si>
    <t>Constitución 8 2º izq - Valladolid</t>
  </si>
  <si>
    <t>Módulo</t>
  </si>
  <si>
    <t>Recoletas</t>
  </si>
  <si>
    <t>2 y 3</t>
  </si>
  <si>
    <t>Ticmoteo</t>
  </si>
  <si>
    <t>Proximia Havas</t>
  </si>
  <si>
    <t>Constitución 5 (Garajes) - Valladolid</t>
  </si>
  <si>
    <t>P.14 SÓT. -3</t>
  </si>
  <si>
    <t>Grupo Ézaro</t>
  </si>
  <si>
    <t>SOT.-3</t>
  </si>
  <si>
    <t>Rosana Alonso</t>
  </si>
  <si>
    <t>en efectivo</t>
  </si>
  <si>
    <t>Carlos Lamoca</t>
  </si>
  <si>
    <t>Conserje Jose Luis</t>
  </si>
  <si>
    <t>RENTA SIN IVA</t>
  </si>
  <si>
    <t>Avd. Europa 34B esc izq, 1ºizq, Madrid</t>
  </si>
  <si>
    <t>Nº PLAZA</t>
  </si>
  <si>
    <t>PLANTA</t>
  </si>
  <si>
    <t>FECHA INICIO CONTRATO</t>
  </si>
  <si>
    <t>P1</t>
  </si>
  <si>
    <t>SÓTANO  -2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</si>
  <si>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</si>
  <si>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</si>
  <si>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</si>
  <si>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</si>
  <si>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</si>
  <si>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</si>
  <si>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</si>
  <si>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</si>
  <si>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</si>
  <si>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P13</t>
  </si>
  <si>
    <t>P14</t>
  </si>
  <si>
    <t>P15</t>
  </si>
  <si>
    <t>P16</t>
  </si>
  <si>
    <t>P38</t>
  </si>
  <si>
    <t>P40</t>
  </si>
  <si>
    <t>P41</t>
  </si>
  <si>
    <t>P42</t>
  </si>
  <si>
    <t>P43</t>
  </si>
  <si>
    <t>P46</t>
  </si>
  <si>
    <t>P62</t>
  </si>
  <si>
    <t>P63</t>
  </si>
  <si>
    <t>P64</t>
  </si>
  <si>
    <t>P65</t>
  </si>
  <si>
    <t>P66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</si>
  <si>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</si>
  <si>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</si>
  <si>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</si>
  <si>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</si>
  <si>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</si>
  <si>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</si>
  <si>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</si>
  <si>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</si>
  <si>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</si>
  <si>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RENTA CON IVA</t>
  </si>
  <si>
    <t>OCUPADA</t>
  </si>
  <si>
    <t>LIBRE</t>
  </si>
  <si>
    <t>USO EMPRESA</t>
  </si>
  <si>
    <t>EN VENTA</t>
  </si>
  <si>
    <t>SÓTANO  -3</t>
  </si>
  <si>
    <t>P11</t>
  </si>
  <si>
    <t>P12</t>
  </si>
  <si>
    <t xml:space="preserve">P15 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</si>
  <si>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</si>
  <si>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</si>
  <si>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</si>
  <si>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</si>
  <si>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</si>
  <si>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</si>
  <si>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</si>
  <si>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</si>
  <si>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</si>
  <si>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</si>
  <si>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</si>
  <si>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P33</t>
  </si>
  <si>
    <t>P34</t>
  </si>
  <si>
    <t>P35</t>
  </si>
  <si>
    <t>P36</t>
  </si>
  <si>
    <t>P37</t>
  </si>
  <si>
    <t>P39</t>
  </si>
  <si>
    <t>P44</t>
  </si>
  <si>
    <t>P45</t>
  </si>
  <si>
    <t>P47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</si>
  <si>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</si>
  <si>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</si>
  <si>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</si>
  <si>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</si>
  <si>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</si>
  <si>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</si>
  <si>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</si>
  <si>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</si>
  <si>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</si>
  <si>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</si>
  <si>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</si>
  <si>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</si>
  <si>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P67</t>
  </si>
  <si>
    <t>P68</t>
  </si>
  <si>
    <t>P69</t>
  </si>
  <si>
    <t>P79</t>
  </si>
  <si>
    <t>P80</t>
  </si>
  <si>
    <t>P30</t>
  </si>
  <si>
    <t xml:space="preserve">SUPERMERCADO 11/07/2022(Fecha fin 11/07/46) </t>
  </si>
  <si>
    <t>P18</t>
  </si>
  <si>
    <t>P17</t>
  </si>
  <si>
    <t>P32</t>
  </si>
  <si>
    <t>P31</t>
  </si>
  <si>
    <t>P61</t>
  </si>
  <si>
    <t>SÓTANO  -1</t>
  </si>
  <si>
    <t>EMPLEADO</t>
  </si>
  <si>
    <t>P36A (118/84)</t>
  </si>
  <si>
    <t>P36B (119/85)</t>
  </si>
  <si>
    <t>P81</t>
  </si>
  <si>
    <t>MUY MALA</t>
  </si>
  <si>
    <t>NO ENTRA OTRO COCHE</t>
  </si>
  <si>
    <t>Propietario</t>
  </si>
  <si>
    <t>Edificio</t>
  </si>
  <si>
    <t>Calle</t>
  </si>
  <si>
    <t>Portal</t>
  </si>
  <si>
    <t>Torre</t>
  </si>
  <si>
    <t>Apartamento</t>
  </si>
  <si>
    <t>Rovida, S.L.</t>
  </si>
  <si>
    <t>G IV</t>
  </si>
  <si>
    <t>Ibiza</t>
  </si>
  <si>
    <t>17º C</t>
  </si>
  <si>
    <t>G II</t>
  </si>
  <si>
    <t>1º D</t>
  </si>
  <si>
    <t>1º E</t>
  </si>
  <si>
    <t>20º B</t>
  </si>
  <si>
    <t>20º C</t>
  </si>
  <si>
    <t>3º B</t>
  </si>
  <si>
    <t>3º E</t>
  </si>
  <si>
    <t>G XX</t>
  </si>
  <si>
    <t>1º C</t>
  </si>
  <si>
    <t>2º C</t>
  </si>
  <si>
    <t>3º C</t>
  </si>
  <si>
    <t>3º D</t>
  </si>
  <si>
    <t>16º D</t>
  </si>
  <si>
    <t>17º D</t>
  </si>
  <si>
    <t>19º C</t>
  </si>
  <si>
    <t>20º D</t>
  </si>
  <si>
    <t>24º D</t>
  </si>
  <si>
    <t>25º D</t>
  </si>
  <si>
    <t>FINCA</t>
  </si>
  <si>
    <t>Local Barquillo 30</t>
  </si>
  <si>
    <t>PROJECTS BC 2016 S.L</t>
  </si>
  <si>
    <r>
      <t xml:space="preserve">01/02/2025 al 31/01/26: </t>
    </r>
    <r>
      <rPr>
        <b/>
        <sz val="11"/>
        <color theme="1"/>
        <rFont val="Calibri"/>
        <family val="2"/>
        <scheme val="minor"/>
      </rPr>
      <t xml:space="preserve">7200+(COMUNIDAD)+IVA         </t>
    </r>
    <r>
      <rPr>
        <sz val="11"/>
        <color theme="1"/>
        <rFont val="Calibri"/>
        <family val="2"/>
        <scheme val="minor"/>
      </rPr>
      <t xml:space="preserve">01/02/2026 al 31/01/27: </t>
    </r>
    <r>
      <rPr>
        <b/>
        <sz val="11"/>
        <color theme="1"/>
        <rFont val="Calibri"/>
        <family val="2"/>
        <scheme val="minor"/>
      </rPr>
      <t xml:space="preserve">8400+(COMUNIDAD)+IVA  </t>
    </r>
    <r>
      <rPr>
        <sz val="11"/>
        <color theme="1"/>
        <rFont val="Calibri"/>
        <family val="2"/>
        <scheme val="minor"/>
      </rPr>
      <t xml:space="preserve">01/02/2028 al 31/01/29: </t>
    </r>
    <r>
      <rPr>
        <b/>
        <sz val="11"/>
        <color theme="1"/>
        <rFont val="Calibri"/>
        <family val="2"/>
        <scheme val="minor"/>
      </rPr>
      <t>8400+(COMUNIDAD)+IVA+</t>
    </r>
    <r>
      <rPr>
        <b/>
        <u/>
        <sz val="11"/>
        <color theme="1"/>
        <rFont val="Calibri"/>
        <family val="2"/>
        <scheme val="minor"/>
      </rPr>
      <t xml:space="preserve">IPC </t>
    </r>
    <r>
      <rPr>
        <u/>
        <sz val="11"/>
        <color theme="1"/>
        <rFont val="Calibri"/>
        <family val="2"/>
        <scheme val="minor"/>
      </rPr>
      <t>A partir del octavo año se revisará la renta</t>
    </r>
  </si>
  <si>
    <t>Local 1(13182)</t>
  </si>
  <si>
    <t>The Stage Ventures SL</t>
  </si>
  <si>
    <t>Local 2(13184)</t>
  </si>
  <si>
    <t>Edificio C/Piamonte 23</t>
  </si>
  <si>
    <t>IMPULSA HUB SUR SL</t>
  </si>
  <si>
    <t>NAVE PALENCIA AVD CUBA</t>
  </si>
  <si>
    <t>HIPER CH DISTRIBUCION SL</t>
  </si>
  <si>
    <t>RENTA SIN IVA 2024</t>
  </si>
  <si>
    <t>RENTA SIN IVA 2025</t>
  </si>
  <si>
    <t>584,30 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</si>
</sst>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0\ &quot;€&quot;"/>
    <numFmt numFmtId="166" formatCode="_-* #,##0.00\ [$€-C0A]_-;\-* #,##0.00\ [$€-C0A]_-;_-* &quot;-&quot;??\ [$€-C0A]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top"/>
    </xf>
    <xf numFmtId="0" fontId="4" fillId="7" borderId="9" xfId="0" applyFont="1" applyFill="1" applyBorder="1" applyAlignment="1">
      <alignment vertical="center"/>
    </xf>
    <xf numFmtId="0" fontId="4" fillId="8" borderId="9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6" borderId="14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11" borderId="9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14" fontId="4" fillId="11" borderId="1" xfId="0" applyNumberFormat="1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14" fontId="5" fillId="11" borderId="0" xfId="0" applyNumberFormat="1" applyFont="1" applyFill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/>
    </xf>
    <xf numFmtId="14" fontId="5" fillId="12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0" fontId="9" fillId="13" borderId="3" xfId="0" applyFont="1" applyFill="1" applyBorder="1"/>
    <xf numFmtId="0" fontId="9" fillId="13" borderId="2" xfId="0" applyFont="1" applyFill="1" applyBorder="1" applyAlignment="1">
      <alignment horizontal="center" vertical="center"/>
    </xf>
    <xf numFmtId="0" fontId="9" fillId="13" borderId="1" xfId="0" applyFont="1" applyFill="1" applyBorder="1"/>
    <xf numFmtId="0" fontId="10" fillId="14" borderId="1" xfId="0" applyFont="1" applyFill="1" applyBorder="1"/>
    <xf numFmtId="0" fontId="10" fillId="14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9" fillId="13" borderId="17" xfId="0" applyFont="1" applyFill="1" applyBorder="1" applyAlignment="1">
      <alignment horizontal="center" vertical="center"/>
    </xf>
    <xf numFmtId="0" fontId="9" fillId="13" borderId="17" xfId="0" applyFont="1" applyFill="1" applyBorder="1"/>
    <xf numFmtId="0" fontId="9" fillId="13" borderId="17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5" fillId="11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5" fillId="0" borderId="1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6" sqref="D6"/>
    </sheetView>
  </sheetViews>
  <sheetFormatPr baseColWidth="10" defaultRowHeight="15" x14ac:dyDescent="0.25"/>
  <cols>
    <col min="1" max="1" width="40.28515625" bestFit="1" customWidth="1"/>
    <col min="2" max="2" width="16.85546875" style="11" customWidth="1"/>
    <col min="3" max="3" width="15.28515625" style="11" customWidth="1"/>
    <col min="4" max="4" width="36" bestFit="1" customWidth="1"/>
  </cols>
  <sheetData>
    <row r="1" spans="1:4" x14ac:dyDescent="0.25">
      <c r="A1" s="87" t="s">
        <v>23</v>
      </c>
      <c r="B1" s="87"/>
      <c r="C1" s="87"/>
      <c r="D1" s="87"/>
    </row>
    <row r="2" spans="1:4" x14ac:dyDescent="0.25">
      <c r="A2" s="3" t="s">
        <v>4</v>
      </c>
      <c r="B2" s="3" t="s">
        <v>5</v>
      </c>
      <c r="C2" s="3" t="s">
        <v>6</v>
      </c>
      <c r="D2" s="4" t="s">
        <v>22</v>
      </c>
    </row>
    <row r="3" spans="1:4" s="9" customFormat="1" x14ac:dyDescent="0.25">
      <c r="A3" s="1" t="s">
        <v>0</v>
      </c>
      <c r="B3" s="6">
        <v>42130</v>
      </c>
      <c r="C3" s="7" t="s">
        <v>7</v>
      </c>
      <c r="D3" s="8">
        <v>2345.66</v>
      </c>
    </row>
    <row r="4" spans="1:4" x14ac:dyDescent="0.25">
      <c r="A4" s="2" t="s">
        <v>1</v>
      </c>
      <c r="B4" s="6">
        <v>42130</v>
      </c>
      <c r="C4" s="10" t="s">
        <v>7</v>
      </c>
      <c r="D4" s="10">
        <v>149.65</v>
      </c>
    </row>
    <row r="5" spans="1:4" x14ac:dyDescent="0.25">
      <c r="A5" s="2" t="s">
        <v>2</v>
      </c>
      <c r="B5" s="6">
        <v>42130</v>
      </c>
      <c r="C5" s="10" t="s">
        <v>7</v>
      </c>
      <c r="D5" s="10">
        <v>900.89</v>
      </c>
    </row>
    <row r="6" spans="1:4" x14ac:dyDescent="0.25">
      <c r="A6" s="2" t="s">
        <v>3</v>
      </c>
      <c r="B6" s="6">
        <v>44470</v>
      </c>
      <c r="C6" s="6">
        <v>46295</v>
      </c>
      <c r="D6" s="10">
        <v>3030.53</v>
      </c>
    </row>
    <row r="13" spans="1:4" x14ac:dyDescent="0.25">
      <c r="B13" s="12"/>
      <c r="C13" s="13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14" sqref="E14"/>
    </sheetView>
  </sheetViews>
  <sheetFormatPr baseColWidth="10" defaultRowHeight="15" x14ac:dyDescent="0.25"/>
  <cols>
    <col min="1" max="1" width="15.42578125" bestFit="1" customWidth="1"/>
    <col min="2" max="2" width="10.5703125" bestFit="1" customWidth="1"/>
    <col min="5" max="5" width="36.28515625" customWidth="1"/>
  </cols>
  <sheetData>
    <row r="1" spans="1:5" x14ac:dyDescent="0.25">
      <c r="A1" s="5" t="s">
        <v>150</v>
      </c>
      <c r="B1" s="3" t="s">
        <v>4</v>
      </c>
      <c r="C1" s="3" t="s">
        <v>5</v>
      </c>
      <c r="D1" s="3" t="s">
        <v>6</v>
      </c>
      <c r="E1" s="4" t="s">
        <v>22</v>
      </c>
    </row>
    <row r="2" spans="1:5" ht="105" x14ac:dyDescent="0.25">
      <c r="A2" s="72" t="s">
        <v>151</v>
      </c>
      <c r="B2" s="73" t="s">
        <v>152</v>
      </c>
      <c r="C2" s="74">
        <v>45689</v>
      </c>
      <c r="D2" s="7">
        <v>13911</v>
      </c>
      <c r="E2" s="1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F17" sqref="F17"/>
    </sheetView>
  </sheetViews>
  <sheetFormatPr baseColWidth="10" defaultRowHeight="15" x14ac:dyDescent="0.25"/>
  <cols>
    <col min="1" max="1" width="15.42578125" bestFit="1" customWidth="1"/>
    <col min="2" max="2" width="28.85546875" customWidth="1"/>
    <col min="3" max="3" width="16.85546875" style="11" customWidth="1"/>
    <col min="4" max="4" width="15.28515625" style="11" customWidth="1"/>
    <col min="5" max="5" width="14.5703125" customWidth="1"/>
  </cols>
  <sheetData>
    <row r="1" spans="1:5" x14ac:dyDescent="0.25">
      <c r="A1" s="5" t="s">
        <v>150</v>
      </c>
      <c r="B1" s="3" t="s">
        <v>4</v>
      </c>
      <c r="C1" s="3" t="s">
        <v>5</v>
      </c>
      <c r="D1" s="3" t="s">
        <v>6</v>
      </c>
      <c r="E1" s="4" t="s">
        <v>22</v>
      </c>
    </row>
    <row r="2" spans="1:5" s="9" customFormat="1" x14ac:dyDescent="0.25">
      <c r="A2" s="72" t="s">
        <v>154</v>
      </c>
      <c r="B2" s="1" t="s">
        <v>155</v>
      </c>
      <c r="C2" s="75">
        <v>44378</v>
      </c>
      <c r="D2" s="76">
        <v>49856</v>
      </c>
      <c r="E2" s="77">
        <v>2072</v>
      </c>
    </row>
    <row r="3" spans="1:5" x14ac:dyDescent="0.25">
      <c r="A3" s="72" t="s">
        <v>156</v>
      </c>
      <c r="B3" s="1" t="s">
        <v>155</v>
      </c>
      <c r="C3" s="74">
        <v>44378</v>
      </c>
      <c r="D3" s="6">
        <v>49856</v>
      </c>
      <c r="E3" s="17">
        <v>4144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E10" sqref="E10"/>
    </sheetView>
  </sheetViews>
  <sheetFormatPr baseColWidth="10" defaultRowHeight="15" x14ac:dyDescent="0.25"/>
  <cols>
    <col min="1" max="1" width="19.7109375" bestFit="1" customWidth="1"/>
    <col min="2" max="2" width="28.85546875" customWidth="1"/>
    <col min="3" max="3" width="16.85546875" style="11" customWidth="1"/>
    <col min="4" max="4" width="15.28515625" style="11" customWidth="1"/>
    <col min="5" max="5" width="43.42578125" customWidth="1"/>
  </cols>
  <sheetData>
    <row r="1" spans="1:5" x14ac:dyDescent="0.25">
      <c r="A1" s="5" t="s">
        <v>150</v>
      </c>
      <c r="B1" s="3" t="s">
        <v>4</v>
      </c>
      <c r="C1" s="3" t="s">
        <v>5</v>
      </c>
      <c r="D1" s="3" t="s">
        <v>6</v>
      </c>
      <c r="E1" s="4" t="s">
        <v>22</v>
      </c>
    </row>
    <row r="2" spans="1:5" s="9" customFormat="1" x14ac:dyDescent="0.25">
      <c r="A2" s="72" t="s">
        <v>157</v>
      </c>
      <c r="B2" s="1" t="s">
        <v>158</v>
      </c>
      <c r="C2" s="74">
        <v>45425</v>
      </c>
      <c r="D2" s="74">
        <v>50902</v>
      </c>
      <c r="E2" s="77">
        <v>47790.58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D30" sqref="D30"/>
    </sheetView>
  </sheetViews>
  <sheetFormatPr baseColWidth="10" defaultRowHeight="15" x14ac:dyDescent="0.25"/>
  <cols>
    <col min="1" max="1" width="15.42578125" bestFit="1" customWidth="1"/>
    <col min="2" max="2" width="28.85546875" customWidth="1"/>
    <col min="3" max="3" width="16.85546875" style="11" customWidth="1"/>
    <col min="4" max="4" width="15.28515625" style="11" customWidth="1"/>
    <col min="5" max="5" width="16.7109375" customWidth="1"/>
  </cols>
  <sheetData>
    <row r="1" spans="1:5" x14ac:dyDescent="0.25">
      <c r="A1" s="5" t="s">
        <v>150</v>
      </c>
      <c r="B1" s="3" t="s">
        <v>4</v>
      </c>
      <c r="C1" s="3" t="s">
        <v>5</v>
      </c>
      <c r="D1" s="3" t="s">
        <v>6</v>
      </c>
      <c r="E1" s="4" t="s">
        <v>22</v>
      </c>
    </row>
    <row r="2" spans="1:5" s="9" customFormat="1" ht="30" x14ac:dyDescent="0.25">
      <c r="A2" s="1" t="s">
        <v>159</v>
      </c>
      <c r="B2" s="1" t="s">
        <v>160</v>
      </c>
      <c r="C2" s="74">
        <v>45489</v>
      </c>
      <c r="D2" s="7">
        <v>50967</v>
      </c>
      <c r="E2" s="77">
        <v>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tabSelected="1" workbookViewId="0">
      <selection activeCell="I12" sqref="I12"/>
    </sheetView>
  </sheetViews>
  <sheetFormatPr baseColWidth="10" defaultRowHeight="15" x14ac:dyDescent="0.25"/>
  <cols>
    <col min="2" max="2" width="19.42578125" bestFit="1" customWidth="1"/>
    <col min="3" max="3" width="16.42578125" style="11" bestFit="1" customWidth="1"/>
    <col min="4" max="4" width="13.7109375" bestFit="1" customWidth="1"/>
  </cols>
  <sheetData>
    <row r="1" spans="1:5" x14ac:dyDescent="0.25">
      <c r="A1" s="88" t="s">
        <v>8</v>
      </c>
      <c r="B1" s="89"/>
      <c r="C1" s="89"/>
      <c r="D1" s="89"/>
      <c r="E1" s="89"/>
    </row>
    <row r="2" spans="1:5" ht="30" x14ac:dyDescent="0.25">
      <c r="A2" s="3" t="s">
        <v>9</v>
      </c>
      <c r="B2" s="3" t="s">
        <v>4</v>
      </c>
      <c r="C2" s="3" t="s">
        <v>5</v>
      </c>
      <c r="D2" s="3" t="s">
        <v>6</v>
      </c>
      <c r="E2" s="4" t="s">
        <v>22</v>
      </c>
    </row>
    <row r="3" spans="1:5" x14ac:dyDescent="0.25">
      <c r="A3" s="10">
        <v>1</v>
      </c>
      <c r="B3" s="2" t="s">
        <v>10</v>
      </c>
      <c r="C3" s="6">
        <v>44501</v>
      </c>
      <c r="D3" s="7" t="s">
        <v>7</v>
      </c>
      <c r="E3" s="86" t="s">
        <v>163</v>
      </c>
    </row>
    <row r="4" spans="1:5" x14ac:dyDescent="0.25">
      <c r="A4" s="10" t="s">
        <v>11</v>
      </c>
      <c r="B4" s="2" t="s">
        <v>10</v>
      </c>
      <c r="C4" s="6">
        <v>45824</v>
      </c>
      <c r="D4" s="10" t="s">
        <v>7</v>
      </c>
      <c r="E4" s="14">
        <v>1239.67</v>
      </c>
    </row>
    <row r="5" spans="1:5" x14ac:dyDescent="0.25">
      <c r="A5" s="10">
        <v>4</v>
      </c>
      <c r="B5" s="2" t="s">
        <v>12</v>
      </c>
      <c r="C5" s="6">
        <v>45170</v>
      </c>
      <c r="D5" s="7" t="s">
        <v>7</v>
      </c>
      <c r="E5" s="14">
        <v>339.84</v>
      </c>
    </row>
    <row r="6" spans="1:5" x14ac:dyDescent="0.25">
      <c r="A6" s="10">
        <v>5</v>
      </c>
      <c r="B6" s="2" t="s">
        <v>10</v>
      </c>
      <c r="C6" s="6">
        <v>45444</v>
      </c>
      <c r="D6" s="10" t="s">
        <v>7</v>
      </c>
      <c r="E6" s="15">
        <v>608.09</v>
      </c>
    </row>
    <row r="7" spans="1:5" x14ac:dyDescent="0.25">
      <c r="A7" s="10">
        <v>6</v>
      </c>
      <c r="B7" s="2" t="s">
        <v>10</v>
      </c>
      <c r="C7" s="6">
        <v>44682</v>
      </c>
      <c r="D7" s="7" t="s">
        <v>7</v>
      </c>
      <c r="E7" s="14">
        <v>585.85</v>
      </c>
    </row>
    <row r="8" spans="1:5" x14ac:dyDescent="0.25">
      <c r="A8" s="10">
        <v>7</v>
      </c>
      <c r="B8" s="2" t="s">
        <v>13</v>
      </c>
      <c r="C8" s="6">
        <v>43861</v>
      </c>
      <c r="D8" s="10" t="s">
        <v>7</v>
      </c>
      <c r="E8" s="14">
        <v>654.08000000000004</v>
      </c>
    </row>
    <row r="9" spans="1:5" x14ac:dyDescent="0.25">
      <c r="A9" s="10">
        <v>8</v>
      </c>
      <c r="B9" s="2" t="s">
        <v>10</v>
      </c>
      <c r="C9" s="6">
        <v>44898</v>
      </c>
      <c r="D9" s="7" t="s">
        <v>7</v>
      </c>
      <c r="E9" s="14">
        <v>240.82</v>
      </c>
    </row>
  </sheetData>
  <mergeCells count="1">
    <mergeCell ref="A1:E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E10" sqref="E10"/>
    </sheetView>
  </sheetViews>
  <sheetFormatPr baseColWidth="10" defaultRowHeight="15" x14ac:dyDescent="0.25"/>
  <cols>
    <col min="1" max="1" width="19.140625" bestFit="1" customWidth="1"/>
    <col min="2" max="2" width="16.42578125" bestFit="1" customWidth="1"/>
    <col min="3" max="3" width="13.7109375" bestFit="1" customWidth="1"/>
    <col min="4" max="4" width="17.28515625" customWidth="1"/>
  </cols>
  <sheetData>
    <row r="1" spans="1:4" x14ac:dyDescent="0.25">
      <c r="A1" s="3" t="s">
        <v>4</v>
      </c>
      <c r="B1" s="3" t="s">
        <v>5</v>
      </c>
      <c r="C1" s="3" t="s">
        <v>6</v>
      </c>
      <c r="D1" s="4" t="s">
        <v>22</v>
      </c>
    </row>
    <row r="2" spans="1:4" x14ac:dyDescent="0.25">
      <c r="A2" s="2" t="s">
        <v>2</v>
      </c>
      <c r="B2" s="6">
        <v>45017</v>
      </c>
      <c r="C2" s="10" t="s">
        <v>7</v>
      </c>
      <c r="D2" s="10">
        <v>711.98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9"/>
  <sheetViews>
    <sheetView workbookViewId="0">
      <selection activeCell="A4" sqref="A4"/>
    </sheetView>
  </sheetViews>
  <sheetFormatPr baseColWidth="10" defaultRowHeight="15.75" x14ac:dyDescent="0.25"/>
  <cols>
    <col min="1" max="1" width="14.28515625" style="27" bestFit="1" customWidth="1"/>
    <col min="2" max="2" width="13.28515625" style="28" bestFit="1" customWidth="1"/>
    <col min="3" max="3" width="16.42578125" style="29" customWidth="1"/>
    <col min="4" max="4" width="23.7109375" style="29" bestFit="1" customWidth="1"/>
    <col min="6" max="6" width="11.5703125" style="11"/>
    <col min="7" max="7" width="12.7109375" bestFit="1" customWidth="1"/>
  </cols>
  <sheetData>
    <row r="1" spans="1:7" ht="31.5" x14ac:dyDescent="0.25">
      <c r="A1" s="18" t="s">
        <v>24</v>
      </c>
      <c r="B1" s="19" t="s">
        <v>25</v>
      </c>
      <c r="C1" s="19" t="s">
        <v>62</v>
      </c>
      <c r="D1" s="19" t="s">
        <v>26</v>
      </c>
    </row>
    <row r="2" spans="1:7" x14ac:dyDescent="0.25">
      <c r="A2" s="20" t="s">
        <v>27</v>
      </c>
      <c r="B2" s="21" t="s">
        <v>28</v>
      </c>
      <c r="C2" s="78">
        <f>140/1.21</f>
        <v>115.70247933884298</v>
      </c>
      <c r="D2" s="31">
        <v>44958</v>
      </c>
    </row>
    <row r="3" spans="1:7" ht="15.6" customHeight="1" x14ac:dyDescent="0.25">
      <c r="A3" s="20" t="s">
        <v>29</v>
      </c>
      <c r="B3" s="22" t="s">
        <v>28</v>
      </c>
      <c r="C3" s="78">
        <f t="shared" ref="C3:C9" si="0">140/1.21</f>
        <v>115.70247933884298</v>
      </c>
      <c r="D3" s="32">
        <v>45566</v>
      </c>
      <c r="F3" s="82">
        <v>13</v>
      </c>
      <c r="G3" t="s">
        <v>64</v>
      </c>
    </row>
    <row r="4" spans="1:7" x14ac:dyDescent="0.25">
      <c r="A4" s="23" t="s">
        <v>30</v>
      </c>
      <c r="B4" s="22" t="s">
        <v>28</v>
      </c>
      <c r="C4" s="78">
        <f t="shared" si="0"/>
        <v>115.70247933884298</v>
      </c>
      <c r="D4" s="30"/>
      <c r="F4" s="83">
        <v>88</v>
      </c>
      <c r="G4" t="s">
        <v>63</v>
      </c>
    </row>
    <row r="5" spans="1:7" x14ac:dyDescent="0.25">
      <c r="A5" s="20" t="s">
        <v>31</v>
      </c>
      <c r="B5" s="22" t="s">
        <v>28</v>
      </c>
      <c r="C5" s="78">
        <f t="shared" si="0"/>
        <v>115.70247933884298</v>
      </c>
      <c r="D5" s="32">
        <v>45527</v>
      </c>
      <c r="F5" s="84">
        <v>2</v>
      </c>
      <c r="G5" t="s">
        <v>65</v>
      </c>
    </row>
    <row r="6" spans="1:7" x14ac:dyDescent="0.25">
      <c r="A6" s="20" t="s">
        <v>32</v>
      </c>
      <c r="B6" s="22" t="s">
        <v>28</v>
      </c>
      <c r="C6" s="78">
        <f t="shared" si="0"/>
        <v>115.70247933884298</v>
      </c>
      <c r="D6" s="32">
        <v>45055</v>
      </c>
      <c r="F6" s="85">
        <v>5</v>
      </c>
      <c r="G6" t="s">
        <v>66</v>
      </c>
    </row>
    <row r="7" spans="1:7" x14ac:dyDescent="0.25">
      <c r="A7" s="20" t="s">
        <v>33</v>
      </c>
      <c r="B7" s="22" t="s">
        <v>28</v>
      </c>
      <c r="C7" s="78">
        <f t="shared" si="0"/>
        <v>115.70247933884298</v>
      </c>
      <c r="D7" s="32">
        <v>45839</v>
      </c>
    </row>
    <row r="8" spans="1:7" x14ac:dyDescent="0.25">
      <c r="A8" s="20" t="s">
        <v>34</v>
      </c>
      <c r="B8" s="22" t="s">
        <v>28</v>
      </c>
      <c r="C8" s="78">
        <f t="shared" si="0"/>
        <v>115.70247933884298</v>
      </c>
      <c r="D8" s="32">
        <v>45839</v>
      </c>
    </row>
    <row r="9" spans="1:7" x14ac:dyDescent="0.25">
      <c r="A9" s="20" t="s">
        <v>35</v>
      </c>
      <c r="B9" s="22" t="s">
        <v>28</v>
      </c>
      <c r="C9" s="78">
        <f t="shared" si="0"/>
        <v>115.70247933884298</v>
      </c>
      <c r="D9" s="32">
        <v>45785</v>
      </c>
    </row>
    <row r="10" spans="1:7" x14ac:dyDescent="0.25">
      <c r="A10" s="20" t="s">
        <v>36</v>
      </c>
      <c r="B10" s="22" t="s">
        <v>28</v>
      </c>
      <c r="C10" s="78">
        <f>150/1.21</f>
        <v>123.96694214876034</v>
      </c>
      <c r="D10" s="32">
        <v>45352</v>
      </c>
    </row>
    <row r="11" spans="1:7" x14ac:dyDescent="0.25">
      <c r="A11" s="23" t="s">
        <v>37</v>
      </c>
      <c r="B11" s="22" t="s">
        <v>28</v>
      </c>
      <c r="C11" s="78">
        <f t="shared" ref="C11:C30" si="1">150/1.21</f>
        <v>123.96694214876034</v>
      </c>
      <c r="D11" s="30"/>
    </row>
    <row r="12" spans="1:7" ht="15.6" customHeight="1" x14ac:dyDescent="0.25">
      <c r="A12" s="44" t="s">
        <v>68</v>
      </c>
      <c r="B12" s="40" t="s">
        <v>28</v>
      </c>
      <c r="C12" s="78">
        <f t="shared" si="1"/>
        <v>123.96694214876034</v>
      </c>
      <c r="D12" s="90">
        <v>45548</v>
      </c>
    </row>
    <row r="13" spans="1:7" x14ac:dyDescent="0.25">
      <c r="A13" s="44" t="s">
        <v>69</v>
      </c>
      <c r="B13" s="40" t="s">
        <v>28</v>
      </c>
      <c r="C13" s="78">
        <f t="shared" si="1"/>
        <v>123.96694214876034</v>
      </c>
      <c r="D13" s="91"/>
    </row>
    <row r="14" spans="1:7" x14ac:dyDescent="0.25">
      <c r="A14" s="20" t="s">
        <v>38</v>
      </c>
      <c r="B14" s="22" t="s">
        <v>28</v>
      </c>
      <c r="C14" s="78">
        <f t="shared" si="1"/>
        <v>123.96694214876034</v>
      </c>
      <c r="D14" s="32">
        <v>45778</v>
      </c>
    </row>
    <row r="15" spans="1:7" x14ac:dyDescent="0.25">
      <c r="A15" s="20" t="s">
        <v>39</v>
      </c>
      <c r="B15" s="22" t="s">
        <v>28</v>
      </c>
      <c r="C15" s="78">
        <f t="shared" si="1"/>
        <v>123.96694214876034</v>
      </c>
      <c r="D15" s="32">
        <v>45540</v>
      </c>
    </row>
    <row r="16" spans="1:7" x14ac:dyDescent="0.25">
      <c r="A16" s="20" t="s">
        <v>40</v>
      </c>
      <c r="B16" s="22" t="s">
        <v>28</v>
      </c>
      <c r="C16" s="78">
        <f t="shared" si="1"/>
        <v>123.96694214876034</v>
      </c>
      <c r="D16" s="32">
        <v>44531</v>
      </c>
    </row>
    <row r="17" spans="1:4" x14ac:dyDescent="0.25">
      <c r="A17" s="20" t="s">
        <v>42</v>
      </c>
      <c r="B17" s="22" t="s">
        <v>28</v>
      </c>
      <c r="C17" s="78">
        <f>140/1.21</f>
        <v>115.70247933884298</v>
      </c>
      <c r="D17" s="32">
        <v>45705</v>
      </c>
    </row>
    <row r="18" spans="1:4" x14ac:dyDescent="0.25">
      <c r="A18" s="23" t="s">
        <v>43</v>
      </c>
      <c r="B18" s="22" t="s">
        <v>28</v>
      </c>
      <c r="C18" s="78">
        <f t="shared" si="1"/>
        <v>123.96694214876034</v>
      </c>
      <c r="D18" s="32"/>
    </row>
    <row r="19" spans="1:4" x14ac:dyDescent="0.25">
      <c r="A19" s="24" t="s">
        <v>47</v>
      </c>
      <c r="B19" s="22" t="s">
        <v>28</v>
      </c>
      <c r="C19" s="78">
        <f t="shared" si="1"/>
        <v>123.96694214876034</v>
      </c>
      <c r="D19" s="30"/>
    </row>
    <row r="20" spans="1:4" x14ac:dyDescent="0.25">
      <c r="A20" s="24" t="s">
        <v>48</v>
      </c>
      <c r="B20" s="22" t="s">
        <v>28</v>
      </c>
      <c r="C20" s="78">
        <f>150/1.21</f>
        <v>123.96694214876034</v>
      </c>
      <c r="D20" s="30"/>
    </row>
    <row r="21" spans="1:4" x14ac:dyDescent="0.25">
      <c r="A21" s="20" t="s">
        <v>49</v>
      </c>
      <c r="B21" s="22" t="s">
        <v>28</v>
      </c>
      <c r="C21" s="78">
        <f t="shared" si="1"/>
        <v>123.96694214876034</v>
      </c>
      <c r="D21" s="31">
        <v>45828</v>
      </c>
    </row>
    <row r="22" spans="1:4" x14ac:dyDescent="0.25">
      <c r="A22" s="20" t="s">
        <v>50</v>
      </c>
      <c r="B22" s="22" t="s">
        <v>28</v>
      </c>
      <c r="C22" s="78">
        <f t="shared" si="1"/>
        <v>123.96694214876034</v>
      </c>
      <c r="D22" s="32">
        <v>45717</v>
      </c>
    </row>
    <row r="23" spans="1:4" x14ac:dyDescent="0.25">
      <c r="A23" s="26" t="s">
        <v>51</v>
      </c>
      <c r="B23" s="22" t="s">
        <v>28</v>
      </c>
      <c r="C23" s="78">
        <f t="shared" si="1"/>
        <v>123.96694214876034</v>
      </c>
      <c r="D23" s="98" t="s">
        <v>65</v>
      </c>
    </row>
    <row r="24" spans="1:4" x14ac:dyDescent="0.25">
      <c r="A24" s="26" t="s">
        <v>52</v>
      </c>
      <c r="B24" s="22" t="s">
        <v>28</v>
      </c>
      <c r="C24" s="78">
        <f t="shared" si="1"/>
        <v>123.96694214876034</v>
      </c>
      <c r="D24" s="99"/>
    </row>
    <row r="25" spans="1:4" x14ac:dyDescent="0.25">
      <c r="A25" s="24" t="s">
        <v>53</v>
      </c>
      <c r="B25" s="22" t="s">
        <v>28</v>
      </c>
      <c r="C25" s="78">
        <f t="shared" si="1"/>
        <v>123.96694214876034</v>
      </c>
      <c r="D25" s="30"/>
    </row>
    <row r="26" spans="1:4" x14ac:dyDescent="0.25">
      <c r="A26" s="24" t="s">
        <v>54</v>
      </c>
      <c r="B26" s="22" t="s">
        <v>28</v>
      </c>
      <c r="C26" s="78">
        <f t="shared" si="1"/>
        <v>123.96694214876034</v>
      </c>
      <c r="D26" s="32"/>
    </row>
    <row r="27" spans="1:4" x14ac:dyDescent="0.25">
      <c r="A27" s="23" t="s">
        <v>55</v>
      </c>
      <c r="B27" s="22" t="s">
        <v>28</v>
      </c>
      <c r="C27" s="78">
        <f t="shared" si="1"/>
        <v>123.96694214876034</v>
      </c>
      <c r="D27" s="32"/>
    </row>
    <row r="28" spans="1:4" x14ac:dyDescent="0.25">
      <c r="A28" s="20" t="s">
        <v>56</v>
      </c>
      <c r="B28" s="22" t="s">
        <v>28</v>
      </c>
      <c r="C28" s="78">
        <f t="shared" si="1"/>
        <v>123.96694214876034</v>
      </c>
      <c r="D28" s="32">
        <v>44811</v>
      </c>
    </row>
    <row r="29" spans="1:4" x14ac:dyDescent="0.25">
      <c r="A29" s="20" t="s">
        <v>57</v>
      </c>
      <c r="B29" s="22" t="s">
        <v>28</v>
      </c>
      <c r="C29" s="78">
        <f>155/1.21</f>
        <v>128.099173553719</v>
      </c>
      <c r="D29" s="32">
        <v>45383</v>
      </c>
    </row>
    <row r="30" spans="1:4" x14ac:dyDescent="0.25">
      <c r="A30" s="24" t="s">
        <v>58</v>
      </c>
      <c r="B30" s="22" t="s">
        <v>28</v>
      </c>
      <c r="C30" s="78">
        <f t="shared" si="1"/>
        <v>123.96694214876034</v>
      </c>
      <c r="D30" s="30"/>
    </row>
    <row r="31" spans="1:4" ht="15.6" customHeight="1" x14ac:dyDescent="0.25">
      <c r="A31" s="43" t="s">
        <v>27</v>
      </c>
      <c r="B31" s="36" t="s">
        <v>67</v>
      </c>
      <c r="C31" s="30">
        <v>121.67</v>
      </c>
      <c r="D31" s="92" t="s">
        <v>109</v>
      </c>
    </row>
    <row r="32" spans="1:4" x14ac:dyDescent="0.25">
      <c r="A32" s="43" t="s">
        <v>29</v>
      </c>
      <c r="B32" s="36" t="s">
        <v>67</v>
      </c>
      <c r="C32" s="30">
        <v>121.67</v>
      </c>
      <c r="D32" s="93"/>
    </row>
    <row r="33" spans="1:4" x14ac:dyDescent="0.25">
      <c r="A33" s="43" t="s">
        <v>30</v>
      </c>
      <c r="B33" s="36" t="s">
        <v>67</v>
      </c>
      <c r="C33" s="30">
        <v>121.67</v>
      </c>
      <c r="D33" s="93"/>
    </row>
    <row r="34" spans="1:4" x14ac:dyDescent="0.25">
      <c r="A34" s="43" t="s">
        <v>31</v>
      </c>
      <c r="B34" s="36" t="s">
        <v>67</v>
      </c>
      <c r="C34" s="30">
        <v>121.67</v>
      </c>
      <c r="D34" s="93"/>
    </row>
    <row r="35" spans="1:4" x14ac:dyDescent="0.25">
      <c r="A35" s="43" t="s">
        <v>32</v>
      </c>
      <c r="B35" s="36" t="s">
        <v>67</v>
      </c>
      <c r="C35" s="30">
        <v>121.67</v>
      </c>
      <c r="D35" s="93"/>
    </row>
    <row r="36" spans="1:4" x14ac:dyDescent="0.25">
      <c r="A36" s="43" t="s">
        <v>33</v>
      </c>
      <c r="B36" s="36" t="s">
        <v>67</v>
      </c>
      <c r="C36" s="30">
        <v>121.67</v>
      </c>
      <c r="D36" s="93"/>
    </row>
    <row r="37" spans="1:4" x14ac:dyDescent="0.25">
      <c r="A37" s="43" t="s">
        <v>34</v>
      </c>
      <c r="B37" s="36" t="s">
        <v>67</v>
      </c>
      <c r="C37" s="30">
        <v>121.67</v>
      </c>
      <c r="D37" s="93"/>
    </row>
    <row r="38" spans="1:4" x14ac:dyDescent="0.25">
      <c r="A38" s="34" t="s">
        <v>35</v>
      </c>
      <c r="B38" s="36" t="s">
        <v>67</v>
      </c>
      <c r="C38" s="78">
        <f t="shared" ref="C38" si="2">140/1.21</f>
        <v>115.70247933884298</v>
      </c>
      <c r="D38" s="31">
        <v>44593</v>
      </c>
    </row>
    <row r="39" spans="1:4" x14ac:dyDescent="0.25">
      <c r="A39" s="34" t="s">
        <v>36</v>
      </c>
      <c r="B39" s="36" t="s">
        <v>67</v>
      </c>
      <c r="C39" s="78">
        <f t="shared" ref="C39:C40" si="3">150/1.21</f>
        <v>123.96694214876034</v>
      </c>
      <c r="D39" s="32">
        <v>45839</v>
      </c>
    </row>
    <row r="40" spans="1:4" x14ac:dyDescent="0.25">
      <c r="A40" s="34" t="s">
        <v>37</v>
      </c>
      <c r="B40" s="36" t="s">
        <v>67</v>
      </c>
      <c r="C40" s="78">
        <f t="shared" si="3"/>
        <v>123.96694214876034</v>
      </c>
      <c r="D40" s="32">
        <v>45756</v>
      </c>
    </row>
    <row r="41" spans="1:4" x14ac:dyDescent="0.25">
      <c r="A41" s="35" t="s">
        <v>68</v>
      </c>
      <c r="B41" s="36" t="s">
        <v>67</v>
      </c>
      <c r="C41" s="78">
        <f t="shared" ref="C41" si="4">140/1.21</f>
        <v>115.70247933884298</v>
      </c>
      <c r="D41" s="30"/>
    </row>
    <row r="42" spans="1:4" x14ac:dyDescent="0.25">
      <c r="A42" s="34" t="s">
        <v>69</v>
      </c>
      <c r="B42" s="36" t="s">
        <v>67</v>
      </c>
      <c r="C42" s="78">
        <f>150/1.21</f>
        <v>123.96694214876034</v>
      </c>
      <c r="D42" s="32">
        <v>45170</v>
      </c>
    </row>
    <row r="43" spans="1:4" x14ac:dyDescent="0.25">
      <c r="A43" s="34" t="s">
        <v>38</v>
      </c>
      <c r="B43" s="36" t="s">
        <v>67</v>
      </c>
      <c r="C43" s="78">
        <f t="shared" ref="C43:C46" si="5">150/1.21</f>
        <v>123.96694214876034</v>
      </c>
      <c r="D43" s="32">
        <v>45282</v>
      </c>
    </row>
    <row r="44" spans="1:4" x14ac:dyDescent="0.25">
      <c r="A44" s="34" t="s">
        <v>39</v>
      </c>
      <c r="B44" s="36" t="s">
        <v>67</v>
      </c>
      <c r="C44" s="78">
        <f t="shared" si="5"/>
        <v>123.96694214876034</v>
      </c>
      <c r="D44" s="32">
        <v>45540</v>
      </c>
    </row>
    <row r="45" spans="1:4" x14ac:dyDescent="0.25">
      <c r="A45" s="34" t="s">
        <v>70</v>
      </c>
      <c r="B45" s="36" t="s">
        <v>67</v>
      </c>
      <c r="C45" s="78">
        <f t="shared" si="5"/>
        <v>123.96694214876034</v>
      </c>
      <c r="D45" s="32">
        <v>45170</v>
      </c>
    </row>
    <row r="46" spans="1:4" x14ac:dyDescent="0.25">
      <c r="A46" s="34" t="s">
        <v>41</v>
      </c>
      <c r="B46" s="36" t="s">
        <v>67</v>
      </c>
      <c r="C46" s="78">
        <f t="shared" si="5"/>
        <v>123.96694214876034</v>
      </c>
      <c r="D46" s="32">
        <v>44708</v>
      </c>
    </row>
    <row r="47" spans="1:4" ht="15.6" customHeight="1" x14ac:dyDescent="0.25">
      <c r="A47" s="44" t="s">
        <v>111</v>
      </c>
      <c r="B47" s="36" t="s">
        <v>67</v>
      </c>
      <c r="C47" s="96">
        <f>180/1.21</f>
        <v>148.7603305785124</v>
      </c>
      <c r="D47" s="94">
        <v>45474</v>
      </c>
    </row>
    <row r="48" spans="1:4" x14ac:dyDescent="0.25">
      <c r="A48" s="45" t="s">
        <v>110</v>
      </c>
      <c r="B48" s="36" t="s">
        <v>67</v>
      </c>
      <c r="C48" s="97"/>
      <c r="D48" s="95"/>
    </row>
    <row r="49" spans="1:4" x14ac:dyDescent="0.25">
      <c r="A49" s="34" t="s">
        <v>71</v>
      </c>
      <c r="B49" s="36" t="s">
        <v>67</v>
      </c>
      <c r="C49" s="78">
        <f t="shared" ref="C49:C52" si="6">150/1.21</f>
        <v>123.96694214876034</v>
      </c>
      <c r="D49" s="32">
        <v>44562</v>
      </c>
    </row>
    <row r="50" spans="1:4" x14ac:dyDescent="0.25">
      <c r="A50" s="34" t="s">
        <v>72</v>
      </c>
      <c r="B50" s="36" t="s">
        <v>67</v>
      </c>
      <c r="C50" s="78">
        <f t="shared" si="6"/>
        <v>123.96694214876034</v>
      </c>
      <c r="D50" s="32">
        <v>45591</v>
      </c>
    </row>
    <row r="51" spans="1:4" x14ac:dyDescent="0.25">
      <c r="A51" s="34" t="s">
        <v>73</v>
      </c>
      <c r="B51" s="36" t="s">
        <v>67</v>
      </c>
      <c r="C51" s="78">
        <f>160/1.21</f>
        <v>132.2314049586777</v>
      </c>
      <c r="D51" s="32">
        <v>44531</v>
      </c>
    </row>
    <row r="52" spans="1:4" x14ac:dyDescent="0.25">
      <c r="A52" s="34" t="s">
        <v>74</v>
      </c>
      <c r="B52" s="36" t="s">
        <v>67</v>
      </c>
      <c r="C52" s="78">
        <f t="shared" si="6"/>
        <v>123.96694214876034</v>
      </c>
      <c r="D52" s="31">
        <v>45748</v>
      </c>
    </row>
    <row r="53" spans="1:4" x14ac:dyDescent="0.25">
      <c r="A53" s="34" t="s">
        <v>75</v>
      </c>
      <c r="B53" s="36" t="s">
        <v>67</v>
      </c>
      <c r="C53" s="78">
        <f t="shared" ref="C53:C58" si="7">160/1.21</f>
        <v>132.2314049586777</v>
      </c>
      <c r="D53" s="32">
        <v>45642</v>
      </c>
    </row>
    <row r="54" spans="1:4" x14ac:dyDescent="0.25">
      <c r="A54" s="34" t="s">
        <v>76</v>
      </c>
      <c r="B54" s="36" t="s">
        <v>67</v>
      </c>
      <c r="C54" s="78">
        <f t="shared" si="7"/>
        <v>132.2314049586777</v>
      </c>
      <c r="D54" s="32">
        <v>44593</v>
      </c>
    </row>
    <row r="55" spans="1:4" x14ac:dyDescent="0.25">
      <c r="A55" s="34" t="s">
        <v>77</v>
      </c>
      <c r="B55" s="36" t="s">
        <v>67</v>
      </c>
      <c r="C55" s="78">
        <f t="shared" si="7"/>
        <v>132.2314049586777</v>
      </c>
      <c r="D55" s="32">
        <v>45748</v>
      </c>
    </row>
    <row r="56" spans="1:4" x14ac:dyDescent="0.25">
      <c r="A56" s="34" t="s">
        <v>78</v>
      </c>
      <c r="B56" s="36" t="s">
        <v>67</v>
      </c>
      <c r="C56" s="78">
        <f t="shared" si="7"/>
        <v>132.2314049586777</v>
      </c>
      <c r="D56" s="32">
        <v>45453</v>
      </c>
    </row>
    <row r="57" spans="1:4" x14ac:dyDescent="0.25">
      <c r="A57" s="34" t="s">
        <v>79</v>
      </c>
      <c r="B57" s="36" t="s">
        <v>67</v>
      </c>
      <c r="C57" s="78">
        <f t="shared" si="7"/>
        <v>132.2314049586777</v>
      </c>
      <c r="D57" s="32">
        <v>44682</v>
      </c>
    </row>
    <row r="58" spans="1:4" x14ac:dyDescent="0.25">
      <c r="A58" s="34" t="s">
        <v>80</v>
      </c>
      <c r="B58" s="36" t="s">
        <v>67</v>
      </c>
      <c r="C58" s="78">
        <f t="shared" si="7"/>
        <v>132.2314049586777</v>
      </c>
      <c r="D58" s="32">
        <v>45017</v>
      </c>
    </row>
    <row r="59" spans="1:4" x14ac:dyDescent="0.25">
      <c r="A59" s="34" t="s">
        <v>81</v>
      </c>
      <c r="B59" s="36" t="s">
        <v>67</v>
      </c>
      <c r="C59" s="78">
        <f t="shared" ref="C59:C60" si="8">150/1.21</f>
        <v>123.96694214876034</v>
      </c>
      <c r="D59" s="32">
        <v>44562</v>
      </c>
    </row>
    <row r="60" spans="1:4" x14ac:dyDescent="0.25">
      <c r="A60" s="34" t="s">
        <v>108</v>
      </c>
      <c r="B60" s="36" t="s">
        <v>67</v>
      </c>
      <c r="C60" s="78">
        <f t="shared" si="8"/>
        <v>123.96694214876034</v>
      </c>
      <c r="D60" s="31">
        <v>45342</v>
      </c>
    </row>
    <row r="61" spans="1:4" x14ac:dyDescent="0.25">
      <c r="A61" s="44" t="s">
        <v>113</v>
      </c>
      <c r="B61" s="36" t="s">
        <v>67</v>
      </c>
      <c r="C61" s="78">
        <f>30/1.21</f>
        <v>24.793388429752067</v>
      </c>
      <c r="D61" s="94">
        <v>45108</v>
      </c>
    </row>
    <row r="62" spans="1:4" x14ac:dyDescent="0.25">
      <c r="A62" s="45" t="s">
        <v>112</v>
      </c>
      <c r="B62" s="36" t="s">
        <v>67</v>
      </c>
      <c r="C62" s="78">
        <f t="shared" ref="C62:C82" si="9">150/1.21</f>
        <v>123.96694214876034</v>
      </c>
      <c r="D62" s="94"/>
    </row>
    <row r="63" spans="1:4" x14ac:dyDescent="0.25">
      <c r="A63" s="34" t="s">
        <v>82</v>
      </c>
      <c r="B63" s="36" t="s">
        <v>67</v>
      </c>
      <c r="C63" s="78">
        <f t="shared" si="9"/>
        <v>123.96694214876034</v>
      </c>
      <c r="D63" s="32">
        <v>45658</v>
      </c>
    </row>
    <row r="64" spans="1:4" x14ac:dyDescent="0.25">
      <c r="A64" s="34" t="s">
        <v>83</v>
      </c>
      <c r="B64" s="36" t="s">
        <v>67</v>
      </c>
      <c r="C64" s="78">
        <f t="shared" si="9"/>
        <v>123.96694214876034</v>
      </c>
      <c r="D64" s="32">
        <v>44931</v>
      </c>
    </row>
    <row r="65" spans="1:4" x14ac:dyDescent="0.25">
      <c r="A65" s="34" t="s">
        <v>84</v>
      </c>
      <c r="B65" s="36" t="s">
        <v>67</v>
      </c>
      <c r="C65" s="78">
        <f t="shared" si="9"/>
        <v>123.96694214876034</v>
      </c>
      <c r="D65" s="31">
        <v>45215</v>
      </c>
    </row>
    <row r="66" spans="1:4" x14ac:dyDescent="0.25">
      <c r="A66" s="34" t="s">
        <v>85</v>
      </c>
      <c r="B66" s="36" t="s">
        <v>67</v>
      </c>
      <c r="C66" s="78">
        <f t="shared" si="9"/>
        <v>123.96694214876034</v>
      </c>
      <c r="D66" s="32">
        <v>45231</v>
      </c>
    </row>
    <row r="67" spans="1:4" x14ac:dyDescent="0.25">
      <c r="A67" s="34" t="s">
        <v>86</v>
      </c>
      <c r="B67" s="36" t="s">
        <v>67</v>
      </c>
      <c r="C67" s="78">
        <f t="shared" si="9"/>
        <v>123.96694214876034</v>
      </c>
      <c r="D67" s="32">
        <v>44839</v>
      </c>
    </row>
    <row r="68" spans="1:4" x14ac:dyDescent="0.25">
      <c r="A68" s="34" t="s">
        <v>42</v>
      </c>
      <c r="B68" s="36" t="s">
        <v>67</v>
      </c>
      <c r="C68" s="78">
        <f t="shared" ref="C68" si="10">140/1.21</f>
        <v>115.70247933884298</v>
      </c>
      <c r="D68" s="32">
        <v>45717</v>
      </c>
    </row>
    <row r="69" spans="1:4" x14ac:dyDescent="0.25">
      <c r="A69" s="34" t="s">
        <v>87</v>
      </c>
      <c r="B69" s="36" t="s">
        <v>67</v>
      </c>
      <c r="C69" s="78">
        <f t="shared" si="9"/>
        <v>123.96694214876034</v>
      </c>
      <c r="D69" s="32">
        <v>44896</v>
      </c>
    </row>
    <row r="70" spans="1:4" x14ac:dyDescent="0.25">
      <c r="A70" s="35" t="s">
        <v>43</v>
      </c>
      <c r="B70" s="36" t="s">
        <v>67</v>
      </c>
      <c r="C70" s="78">
        <f t="shared" si="9"/>
        <v>123.96694214876034</v>
      </c>
      <c r="D70" s="30"/>
    </row>
    <row r="71" spans="1:4" x14ac:dyDescent="0.25">
      <c r="A71" s="34" t="s">
        <v>44</v>
      </c>
      <c r="B71" s="36" t="s">
        <v>67</v>
      </c>
      <c r="C71" s="78">
        <f t="shared" si="9"/>
        <v>123.96694214876034</v>
      </c>
      <c r="D71" s="32">
        <v>44571</v>
      </c>
    </row>
    <row r="72" spans="1:4" x14ac:dyDescent="0.25">
      <c r="A72" s="34" t="s">
        <v>45</v>
      </c>
      <c r="B72" s="36" t="s">
        <v>67</v>
      </c>
      <c r="C72" s="78">
        <f t="shared" si="9"/>
        <v>123.96694214876034</v>
      </c>
      <c r="D72" s="32">
        <v>44713</v>
      </c>
    </row>
    <row r="73" spans="1:4" x14ac:dyDescent="0.25">
      <c r="A73" s="34" t="s">
        <v>46</v>
      </c>
      <c r="B73" s="36" t="s">
        <v>67</v>
      </c>
      <c r="C73" s="78">
        <f t="shared" si="9"/>
        <v>123.96694214876034</v>
      </c>
      <c r="D73" s="32">
        <v>45698</v>
      </c>
    </row>
    <row r="74" spans="1:4" x14ac:dyDescent="0.25">
      <c r="A74" s="34" t="s">
        <v>88</v>
      </c>
      <c r="B74" s="36" t="s">
        <v>67</v>
      </c>
      <c r="C74" s="78">
        <f t="shared" si="9"/>
        <v>123.96694214876034</v>
      </c>
      <c r="D74" s="32">
        <v>45839</v>
      </c>
    </row>
    <row r="75" spans="1:4" x14ac:dyDescent="0.25">
      <c r="A75" s="34" t="s">
        <v>89</v>
      </c>
      <c r="B75" s="36" t="s">
        <v>67</v>
      </c>
      <c r="C75" s="78">
        <f t="shared" si="9"/>
        <v>123.96694214876034</v>
      </c>
      <c r="D75" s="32">
        <v>44682</v>
      </c>
    </row>
    <row r="76" spans="1:4" x14ac:dyDescent="0.25">
      <c r="A76" s="35" t="s">
        <v>47</v>
      </c>
      <c r="B76" s="36" t="s">
        <v>67</v>
      </c>
      <c r="C76" s="78">
        <f t="shared" ref="C76" si="11">140/1.21</f>
        <v>115.70247933884298</v>
      </c>
      <c r="D76" s="30"/>
    </row>
    <row r="77" spans="1:4" x14ac:dyDescent="0.25">
      <c r="A77" s="34" t="s">
        <v>90</v>
      </c>
      <c r="B77" s="36" t="s">
        <v>67</v>
      </c>
      <c r="C77" s="78">
        <f t="shared" si="9"/>
        <v>123.96694214876034</v>
      </c>
      <c r="D77" s="32">
        <v>44732</v>
      </c>
    </row>
    <row r="78" spans="1:4" x14ac:dyDescent="0.25">
      <c r="A78" s="34" t="s">
        <v>91</v>
      </c>
      <c r="B78" s="36" t="s">
        <v>67</v>
      </c>
      <c r="C78" s="78">
        <f t="shared" si="9"/>
        <v>123.96694214876034</v>
      </c>
      <c r="D78" s="32">
        <v>44810</v>
      </c>
    </row>
    <row r="79" spans="1:4" x14ac:dyDescent="0.25">
      <c r="A79" s="34" t="s">
        <v>92</v>
      </c>
      <c r="B79" s="36" t="s">
        <v>67</v>
      </c>
      <c r="C79" s="78">
        <f t="shared" si="9"/>
        <v>123.96694214876034</v>
      </c>
      <c r="D79" s="32">
        <v>45595</v>
      </c>
    </row>
    <row r="80" spans="1:4" x14ac:dyDescent="0.25">
      <c r="A80" s="34" t="s">
        <v>93</v>
      </c>
      <c r="B80" s="36" t="s">
        <v>67</v>
      </c>
      <c r="C80" s="78">
        <f t="shared" si="9"/>
        <v>123.96694214876034</v>
      </c>
      <c r="D80" s="32">
        <v>45582</v>
      </c>
    </row>
    <row r="81" spans="1:4" ht="15.6" customHeight="1" x14ac:dyDescent="0.25">
      <c r="A81" s="34" t="s">
        <v>94</v>
      </c>
      <c r="B81" s="36" t="s">
        <v>67</v>
      </c>
      <c r="C81" s="78">
        <f t="shared" si="9"/>
        <v>123.96694214876034</v>
      </c>
      <c r="D81" s="32">
        <v>45631</v>
      </c>
    </row>
    <row r="82" spans="1:4" ht="15.6" customHeight="1" x14ac:dyDescent="0.25">
      <c r="A82" s="34" t="s">
        <v>95</v>
      </c>
      <c r="B82" s="36" t="s">
        <v>67</v>
      </c>
      <c r="C82" s="78">
        <f t="shared" si="9"/>
        <v>123.96694214876034</v>
      </c>
      <c r="D82" s="32">
        <v>45748</v>
      </c>
    </row>
    <row r="83" spans="1:4" x14ac:dyDescent="0.25">
      <c r="A83" s="34" t="s">
        <v>96</v>
      </c>
      <c r="B83" s="36" t="s">
        <v>67</v>
      </c>
      <c r="C83" s="79">
        <f>180/1.21</f>
        <v>148.7603305785124</v>
      </c>
      <c r="D83" s="32">
        <v>45809</v>
      </c>
    </row>
    <row r="84" spans="1:4" ht="15.6" customHeight="1" x14ac:dyDescent="0.25">
      <c r="A84" s="34" t="s">
        <v>97</v>
      </c>
      <c r="B84" s="36" t="s">
        <v>67</v>
      </c>
      <c r="C84" s="78">
        <f t="shared" ref="C84:C87" si="12">160/1.21</f>
        <v>132.2314049586777</v>
      </c>
      <c r="D84" s="32">
        <v>45748</v>
      </c>
    </row>
    <row r="85" spans="1:4" x14ac:dyDescent="0.25">
      <c r="A85" s="34" t="s">
        <v>98</v>
      </c>
      <c r="B85" s="36" t="s">
        <v>67</v>
      </c>
      <c r="C85" s="78">
        <f t="shared" si="12"/>
        <v>132.2314049586777</v>
      </c>
      <c r="D85" s="31">
        <v>45778</v>
      </c>
    </row>
    <row r="86" spans="1:4" ht="15.6" customHeight="1" x14ac:dyDescent="0.25">
      <c r="A86" s="34" t="s">
        <v>99</v>
      </c>
      <c r="B86" s="36" t="s">
        <v>67</v>
      </c>
      <c r="C86" s="78">
        <f t="shared" si="12"/>
        <v>132.2314049586777</v>
      </c>
      <c r="D86" s="31">
        <v>44531</v>
      </c>
    </row>
    <row r="87" spans="1:4" x14ac:dyDescent="0.25">
      <c r="A87" s="34" t="s">
        <v>100</v>
      </c>
      <c r="B87" s="36" t="s">
        <v>67</v>
      </c>
      <c r="C87" s="78">
        <f t="shared" si="12"/>
        <v>132.2314049586777</v>
      </c>
      <c r="D87" s="32">
        <v>45544</v>
      </c>
    </row>
    <row r="88" spans="1:4" x14ac:dyDescent="0.25">
      <c r="A88" s="34" t="s">
        <v>101</v>
      </c>
      <c r="B88" s="36" t="s">
        <v>67</v>
      </c>
      <c r="C88" s="78">
        <f t="shared" ref="C88:C94" si="13">150/1.21</f>
        <v>123.96694214876034</v>
      </c>
      <c r="D88" s="32">
        <v>45666</v>
      </c>
    </row>
    <row r="89" spans="1:4" x14ac:dyDescent="0.25">
      <c r="A89" s="34" t="s">
        <v>102</v>
      </c>
      <c r="B89" s="36" t="s">
        <v>67</v>
      </c>
      <c r="C89" s="78">
        <f t="shared" si="13"/>
        <v>123.96694214876034</v>
      </c>
      <c r="D89" s="32">
        <v>45170</v>
      </c>
    </row>
    <row r="90" spans="1:4" x14ac:dyDescent="0.25">
      <c r="A90" s="43" t="s">
        <v>114</v>
      </c>
      <c r="B90" s="36" t="s">
        <v>67</v>
      </c>
      <c r="C90" s="78">
        <f t="shared" si="13"/>
        <v>123.96694214876034</v>
      </c>
      <c r="D90" s="32">
        <v>45170</v>
      </c>
    </row>
    <row r="91" spans="1:4" x14ac:dyDescent="0.25">
      <c r="A91" s="43" t="s">
        <v>48</v>
      </c>
      <c r="B91" s="36" t="s">
        <v>67</v>
      </c>
      <c r="C91" s="78">
        <f t="shared" si="13"/>
        <v>123.96694214876034</v>
      </c>
      <c r="D91" s="32">
        <v>45170</v>
      </c>
    </row>
    <row r="92" spans="1:4" x14ac:dyDescent="0.25">
      <c r="A92" s="43" t="s">
        <v>49</v>
      </c>
      <c r="B92" s="36" t="s">
        <v>67</v>
      </c>
      <c r="C92" s="78">
        <f t="shared" si="13"/>
        <v>123.96694214876034</v>
      </c>
      <c r="D92" s="32">
        <v>45170</v>
      </c>
    </row>
    <row r="93" spans="1:4" x14ac:dyDescent="0.25">
      <c r="A93" s="35" t="s">
        <v>50</v>
      </c>
      <c r="B93" s="36" t="s">
        <v>67</v>
      </c>
      <c r="C93" s="30">
        <v>115.7</v>
      </c>
      <c r="D93" s="30"/>
    </row>
    <row r="94" spans="1:4" x14ac:dyDescent="0.25">
      <c r="A94" s="34" t="s">
        <v>51</v>
      </c>
      <c r="B94" s="36" t="s">
        <v>67</v>
      </c>
      <c r="C94" s="78">
        <f t="shared" si="13"/>
        <v>123.96694214876034</v>
      </c>
      <c r="D94" s="32">
        <v>45200</v>
      </c>
    </row>
    <row r="95" spans="1:4" x14ac:dyDescent="0.25">
      <c r="A95" s="34" t="s">
        <v>52</v>
      </c>
      <c r="B95" s="41" t="s">
        <v>67</v>
      </c>
      <c r="C95" s="79">
        <f>170/1.21</f>
        <v>140.49586776859505</v>
      </c>
      <c r="D95" s="31">
        <v>44866</v>
      </c>
    </row>
    <row r="96" spans="1:4" x14ac:dyDescent="0.25">
      <c r="A96" s="35" t="s">
        <v>103</v>
      </c>
      <c r="B96" s="36" t="s">
        <v>67</v>
      </c>
      <c r="C96" s="30">
        <v>115.7</v>
      </c>
      <c r="D96" s="30"/>
    </row>
    <row r="97" spans="1:4" x14ac:dyDescent="0.25">
      <c r="A97" s="34" t="s">
        <v>104</v>
      </c>
      <c r="B97" s="36" t="s">
        <v>67</v>
      </c>
      <c r="C97" s="78">
        <f t="shared" ref="C97:C108" si="14">150/1.21</f>
        <v>123.96694214876034</v>
      </c>
      <c r="D97" s="32">
        <v>44958</v>
      </c>
    </row>
    <row r="98" spans="1:4" x14ac:dyDescent="0.25">
      <c r="A98" s="35" t="s">
        <v>105</v>
      </c>
      <c r="B98" s="36" t="s">
        <v>67</v>
      </c>
      <c r="C98" s="78">
        <f t="shared" si="14"/>
        <v>123.96694214876034</v>
      </c>
      <c r="D98" s="32"/>
    </row>
    <row r="99" spans="1:4" x14ac:dyDescent="0.25">
      <c r="A99" s="35" t="s">
        <v>53</v>
      </c>
      <c r="B99" s="36" t="s">
        <v>67</v>
      </c>
      <c r="C99" s="78">
        <f t="shared" si="14"/>
        <v>123.96694214876034</v>
      </c>
      <c r="D99" s="31"/>
    </row>
    <row r="100" spans="1:4" x14ac:dyDescent="0.25">
      <c r="A100" s="34" t="s">
        <v>54</v>
      </c>
      <c r="B100" s="36" t="s">
        <v>67</v>
      </c>
      <c r="C100" s="78">
        <f t="shared" si="14"/>
        <v>123.96694214876034</v>
      </c>
      <c r="D100" s="32">
        <v>45749</v>
      </c>
    </row>
    <row r="101" spans="1:4" x14ac:dyDescent="0.25">
      <c r="A101" s="34" t="s">
        <v>55</v>
      </c>
      <c r="B101" s="36" t="s">
        <v>67</v>
      </c>
      <c r="C101" s="78">
        <f t="shared" si="14"/>
        <v>123.96694214876034</v>
      </c>
      <c r="D101" s="32">
        <v>44810</v>
      </c>
    </row>
    <row r="102" spans="1:4" x14ac:dyDescent="0.25">
      <c r="A102" s="34" t="s">
        <v>56</v>
      </c>
      <c r="B102" s="36" t="s">
        <v>67</v>
      </c>
      <c r="C102" s="78">
        <f t="shared" si="14"/>
        <v>123.96694214876034</v>
      </c>
      <c r="D102" s="32">
        <v>45170</v>
      </c>
    </row>
    <row r="103" spans="1:4" x14ac:dyDescent="0.25">
      <c r="A103" s="34" t="s">
        <v>57</v>
      </c>
      <c r="B103" s="36" t="s">
        <v>67</v>
      </c>
      <c r="C103" s="78">
        <f t="shared" si="14"/>
        <v>123.96694214876034</v>
      </c>
      <c r="D103" s="37">
        <v>45280</v>
      </c>
    </row>
    <row r="104" spans="1:4" ht="15.6" customHeight="1" x14ac:dyDescent="0.25">
      <c r="A104" s="34" t="s">
        <v>58</v>
      </c>
      <c r="B104" s="36" t="s">
        <v>67</v>
      </c>
      <c r="C104" s="78">
        <f t="shared" si="14"/>
        <v>123.96694214876034</v>
      </c>
      <c r="D104" s="32">
        <v>45541</v>
      </c>
    </row>
    <row r="105" spans="1:4" x14ac:dyDescent="0.25">
      <c r="A105" s="34" t="s">
        <v>59</v>
      </c>
      <c r="B105" s="36" t="s">
        <v>67</v>
      </c>
      <c r="C105" s="78">
        <f t="shared" si="14"/>
        <v>123.96694214876034</v>
      </c>
      <c r="D105" s="31">
        <v>45787</v>
      </c>
    </row>
    <row r="106" spans="1:4" x14ac:dyDescent="0.25">
      <c r="A106" s="34" t="s">
        <v>60</v>
      </c>
      <c r="B106" s="36" t="s">
        <v>67</v>
      </c>
      <c r="C106" s="78">
        <f t="shared" si="14"/>
        <v>123.96694214876034</v>
      </c>
      <c r="D106" s="32">
        <v>44713</v>
      </c>
    </row>
    <row r="107" spans="1:4" x14ac:dyDescent="0.25">
      <c r="A107" s="38" t="s">
        <v>61</v>
      </c>
      <c r="B107" s="36" t="s">
        <v>67</v>
      </c>
      <c r="C107" s="78">
        <f t="shared" si="14"/>
        <v>123.96694214876034</v>
      </c>
      <c r="D107" s="32">
        <v>44698</v>
      </c>
    </row>
    <row r="108" spans="1:4" x14ac:dyDescent="0.25">
      <c r="A108" s="39" t="s">
        <v>106</v>
      </c>
      <c r="B108" s="36" t="s">
        <v>67</v>
      </c>
      <c r="C108" s="78">
        <f t="shared" si="14"/>
        <v>123.96694214876034</v>
      </c>
      <c r="D108" s="30"/>
    </row>
    <row r="109" spans="1:4" x14ac:dyDescent="0.25">
      <c r="A109" s="39" t="s">
        <v>107</v>
      </c>
      <c r="B109" s="36" t="s">
        <v>67</v>
      </c>
      <c r="C109" s="30">
        <v>115.7</v>
      </c>
      <c r="D109" s="30"/>
    </row>
  </sheetData>
  <autoFilter ref="A1:D109" xr:uid="{00000000-0009-0000-0000-000007000000}"/>
  <mergeCells count="6">
    <mergeCell ref="D12:D13"/>
    <mergeCell ref="D31:D37"/>
    <mergeCell ref="D47:D48"/>
    <mergeCell ref="D61:D62"/>
    <mergeCell ref="C47:C48"/>
    <mergeCell ref="D23:D24"/>
  </mergeCells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>
      <selection activeCell="F13" sqref="F13"/>
    </sheetView>
  </sheetViews>
  <sheetFormatPr baseColWidth="10" defaultRowHeight="15" x14ac:dyDescent="0.25"/>
  <cols>
    <col min="2" max="2" width="15.7109375" bestFit="1" customWidth="1"/>
    <col min="3" max="3" width="16.42578125" bestFit="1" customWidth="1"/>
    <col min="4" max="4" width="13.7109375" bestFit="1" customWidth="1"/>
  </cols>
  <sheetData>
    <row r="1" spans="1:7" x14ac:dyDescent="0.25">
      <c r="A1" s="100" t="s">
        <v>14</v>
      </c>
      <c r="B1" s="101"/>
      <c r="C1" s="101"/>
      <c r="D1" s="101"/>
      <c r="E1" s="101"/>
      <c r="G1" s="11"/>
    </row>
    <row r="2" spans="1:7" ht="30" x14ac:dyDescent="0.25">
      <c r="A2" s="3" t="s">
        <v>24</v>
      </c>
      <c r="B2" s="3" t="s">
        <v>4</v>
      </c>
      <c r="C2" s="3" t="s">
        <v>5</v>
      </c>
      <c r="D2" s="3" t="s">
        <v>6</v>
      </c>
      <c r="E2" s="4" t="s">
        <v>22</v>
      </c>
      <c r="G2" s="11"/>
    </row>
    <row r="3" spans="1:7" x14ac:dyDescent="0.25">
      <c r="A3" s="10" t="s">
        <v>15</v>
      </c>
      <c r="B3" s="10" t="s">
        <v>16</v>
      </c>
      <c r="C3" s="6">
        <v>45271</v>
      </c>
      <c r="D3" s="10" t="s">
        <v>7</v>
      </c>
      <c r="E3" s="10">
        <v>95</v>
      </c>
      <c r="G3" s="11"/>
    </row>
    <row r="4" spans="1:7" x14ac:dyDescent="0.25">
      <c r="A4" s="10" t="s">
        <v>17</v>
      </c>
      <c r="B4" s="10" t="s">
        <v>18</v>
      </c>
      <c r="C4" s="10"/>
      <c r="D4" s="2"/>
      <c r="E4" s="10">
        <v>90</v>
      </c>
      <c r="F4" t="s">
        <v>19</v>
      </c>
      <c r="G4" s="11"/>
    </row>
    <row r="5" spans="1:7" x14ac:dyDescent="0.25">
      <c r="A5" s="10"/>
      <c r="B5" s="10" t="s">
        <v>20</v>
      </c>
      <c r="C5" s="10"/>
      <c r="D5" s="10"/>
      <c r="E5" s="14"/>
      <c r="G5" s="11"/>
    </row>
    <row r="6" spans="1:7" x14ac:dyDescent="0.25">
      <c r="A6" s="2"/>
      <c r="B6" s="10" t="s">
        <v>21</v>
      </c>
      <c r="C6" s="2"/>
      <c r="D6" s="2"/>
      <c r="E6" s="2"/>
      <c r="G6" s="11"/>
    </row>
    <row r="7" spans="1:7" x14ac:dyDescent="0.25">
      <c r="G7" s="11"/>
    </row>
    <row r="8" spans="1:7" x14ac:dyDescent="0.25">
      <c r="A8" s="16"/>
      <c r="G8" s="11"/>
    </row>
    <row r="9" spans="1:7" x14ac:dyDescent="0.25">
      <c r="G9" s="11"/>
    </row>
    <row r="10" spans="1:7" x14ac:dyDescent="0.25">
      <c r="G10" s="11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H19" sqref="H19"/>
    </sheetView>
  </sheetViews>
  <sheetFormatPr baseColWidth="10" defaultRowHeight="15" x14ac:dyDescent="0.25"/>
  <cols>
    <col min="3" max="3" width="13.7109375" bestFit="1" customWidth="1"/>
    <col min="4" max="4" width="13.28515625" customWidth="1"/>
    <col min="5" max="5" width="11.85546875" bestFit="1" customWidth="1"/>
  </cols>
  <sheetData>
    <row r="1" spans="1:7" ht="47.25" x14ac:dyDescent="0.25">
      <c r="A1" s="18" t="s">
        <v>24</v>
      </c>
      <c r="B1" s="19" t="s">
        <v>25</v>
      </c>
      <c r="C1" s="19" t="s">
        <v>62</v>
      </c>
      <c r="D1" s="19" t="s">
        <v>26</v>
      </c>
    </row>
    <row r="2" spans="1:7" ht="15.75" x14ac:dyDescent="0.25">
      <c r="A2" s="46" t="s">
        <v>38</v>
      </c>
      <c r="B2" s="47" t="s">
        <v>115</v>
      </c>
      <c r="C2" s="80"/>
      <c r="D2" s="57"/>
      <c r="F2" s="48"/>
      <c r="G2" t="s">
        <v>116</v>
      </c>
    </row>
    <row r="3" spans="1:7" ht="15.75" x14ac:dyDescent="0.25">
      <c r="A3" s="49" t="s">
        <v>41</v>
      </c>
      <c r="B3" s="50" t="s">
        <v>115</v>
      </c>
      <c r="C3" s="52"/>
      <c r="D3" s="52"/>
      <c r="F3" s="42"/>
      <c r="G3" t="s">
        <v>64</v>
      </c>
    </row>
    <row r="4" spans="1:7" ht="15.75" x14ac:dyDescent="0.25">
      <c r="A4" s="20" t="s">
        <v>110</v>
      </c>
      <c r="B4" s="21" t="s">
        <v>115</v>
      </c>
      <c r="C4" s="30">
        <v>45.45</v>
      </c>
      <c r="D4" s="32">
        <v>45108</v>
      </c>
      <c r="F4" s="43"/>
      <c r="G4" t="s">
        <v>63</v>
      </c>
    </row>
    <row r="5" spans="1:7" ht="15.75" x14ac:dyDescent="0.25">
      <c r="A5" s="46" t="s">
        <v>71</v>
      </c>
      <c r="B5" s="47" t="s">
        <v>115</v>
      </c>
      <c r="C5" s="53"/>
      <c r="D5" s="58"/>
      <c r="F5" s="51"/>
      <c r="G5" t="s">
        <v>65</v>
      </c>
    </row>
    <row r="6" spans="1:7" ht="15.75" x14ac:dyDescent="0.25">
      <c r="A6" s="20" t="s">
        <v>72</v>
      </c>
      <c r="B6" s="21" t="s">
        <v>115</v>
      </c>
      <c r="C6" s="30">
        <v>45.45</v>
      </c>
      <c r="D6" s="32">
        <v>45778</v>
      </c>
    </row>
    <row r="7" spans="1:7" ht="15.75" x14ac:dyDescent="0.25">
      <c r="A7" s="20" t="s">
        <v>78</v>
      </c>
      <c r="B7" s="21" t="s">
        <v>115</v>
      </c>
      <c r="C7" s="30">
        <v>45.45</v>
      </c>
      <c r="D7" s="32">
        <v>45078</v>
      </c>
    </row>
    <row r="8" spans="1:7" ht="15.75" x14ac:dyDescent="0.25">
      <c r="A8" s="20" t="s">
        <v>79</v>
      </c>
      <c r="B8" s="21" t="s">
        <v>115</v>
      </c>
      <c r="C8" s="30">
        <v>45.45</v>
      </c>
      <c r="D8" s="32">
        <v>45231</v>
      </c>
    </row>
    <row r="9" spans="1:7" ht="15.75" x14ac:dyDescent="0.25">
      <c r="A9" s="20" t="s">
        <v>80</v>
      </c>
      <c r="B9" s="54" t="s">
        <v>115</v>
      </c>
      <c r="C9" s="30">
        <v>45.45</v>
      </c>
      <c r="D9" s="31">
        <v>45163</v>
      </c>
    </row>
    <row r="10" spans="1:7" ht="15.6" customHeight="1" x14ac:dyDescent="0.25">
      <c r="A10" s="20"/>
      <c r="B10" s="54"/>
      <c r="C10" s="33"/>
      <c r="D10" s="31">
        <v>45323</v>
      </c>
    </row>
    <row r="11" spans="1:7" ht="15.75" x14ac:dyDescent="0.25">
      <c r="A11" s="49" t="s">
        <v>81</v>
      </c>
      <c r="B11" s="50" t="s">
        <v>115</v>
      </c>
      <c r="C11" s="52"/>
      <c r="D11" s="59"/>
    </row>
    <row r="12" spans="1:7" ht="15.75" x14ac:dyDescent="0.25">
      <c r="A12" s="49" t="s">
        <v>108</v>
      </c>
      <c r="B12" s="50" t="s">
        <v>115</v>
      </c>
      <c r="C12" s="52"/>
      <c r="D12" s="52"/>
    </row>
    <row r="13" spans="1:7" ht="15.75" x14ac:dyDescent="0.25">
      <c r="A13" s="20" t="s">
        <v>113</v>
      </c>
      <c r="B13" s="21" t="s">
        <v>115</v>
      </c>
      <c r="C13" s="81">
        <f>60/1.21</f>
        <v>49.586776859504134</v>
      </c>
      <c r="D13" s="31">
        <v>45036</v>
      </c>
    </row>
    <row r="14" spans="1:7" ht="15.75" x14ac:dyDescent="0.25">
      <c r="A14" s="49" t="s">
        <v>112</v>
      </c>
      <c r="B14" s="50" t="s">
        <v>115</v>
      </c>
      <c r="C14" s="52"/>
      <c r="D14" s="59"/>
    </row>
    <row r="15" spans="1:7" ht="15.75" x14ac:dyDescent="0.25">
      <c r="A15" s="49" t="s">
        <v>82</v>
      </c>
      <c r="B15" s="50" t="s">
        <v>115</v>
      </c>
      <c r="C15" s="52"/>
      <c r="D15" s="59"/>
    </row>
    <row r="16" spans="1:7" ht="15.75" x14ac:dyDescent="0.25">
      <c r="A16" s="20" t="s">
        <v>83</v>
      </c>
      <c r="B16" s="21" t="s">
        <v>115</v>
      </c>
      <c r="C16" s="81">
        <f>50/1.21</f>
        <v>41.32231404958678</v>
      </c>
      <c r="D16" s="32">
        <v>45078</v>
      </c>
    </row>
    <row r="17" spans="1:4" ht="15.75" x14ac:dyDescent="0.25">
      <c r="A17" s="23" t="s">
        <v>84</v>
      </c>
      <c r="B17" s="21" t="s">
        <v>115</v>
      </c>
      <c r="C17" s="81">
        <f t="shared" ref="C17:C18" si="0">50/1.21</f>
        <v>41.32231404958678</v>
      </c>
      <c r="D17" s="30" t="s">
        <v>120</v>
      </c>
    </row>
    <row r="18" spans="1:4" ht="15.75" x14ac:dyDescent="0.25">
      <c r="A18" s="20" t="s">
        <v>85</v>
      </c>
      <c r="B18" s="21" t="s">
        <v>115</v>
      </c>
      <c r="C18" s="81">
        <f t="shared" si="0"/>
        <v>41.32231404958678</v>
      </c>
      <c r="D18" s="32">
        <v>45383</v>
      </c>
    </row>
    <row r="19" spans="1:4" ht="47.25" x14ac:dyDescent="0.25">
      <c r="A19" s="55" t="s">
        <v>117</v>
      </c>
      <c r="B19" s="21" t="s">
        <v>115</v>
      </c>
      <c r="C19" s="30">
        <v>45.45</v>
      </c>
      <c r="D19" s="60" t="s">
        <v>121</v>
      </c>
    </row>
    <row r="20" spans="1:4" ht="31.5" x14ac:dyDescent="0.25">
      <c r="A20" s="56" t="s">
        <v>118</v>
      </c>
      <c r="B20" s="25" t="s">
        <v>115</v>
      </c>
      <c r="C20" s="30">
        <v>45.45</v>
      </c>
      <c r="D20" s="31">
        <v>45108</v>
      </c>
    </row>
    <row r="21" spans="1:4" ht="15.75" x14ac:dyDescent="0.25">
      <c r="A21" s="20" t="s">
        <v>42</v>
      </c>
      <c r="B21" s="21" t="s">
        <v>115</v>
      </c>
      <c r="C21" s="30">
        <v>45.45</v>
      </c>
      <c r="D21" s="32">
        <v>45108</v>
      </c>
    </row>
    <row r="22" spans="1:4" ht="15.75" x14ac:dyDescent="0.25">
      <c r="A22" s="20" t="s">
        <v>59</v>
      </c>
      <c r="B22" s="21" t="s">
        <v>28</v>
      </c>
      <c r="C22" s="81">
        <f t="shared" ref="C22:C23" si="1">50/1.21</f>
        <v>41.32231404958678</v>
      </c>
      <c r="D22" s="32">
        <v>45625</v>
      </c>
    </row>
    <row r="23" spans="1:4" ht="15.75" x14ac:dyDescent="0.25">
      <c r="A23" s="20" t="s">
        <v>119</v>
      </c>
      <c r="B23" s="21" t="s">
        <v>28</v>
      </c>
      <c r="C23" s="81">
        <f t="shared" si="1"/>
        <v>41.32231404958678</v>
      </c>
      <c r="D23" s="32">
        <v>45108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"/>
  <sheetViews>
    <sheetView workbookViewId="0">
      <selection activeCell="F35" sqref="F35"/>
    </sheetView>
  </sheetViews>
  <sheetFormatPr baseColWidth="10" defaultRowHeight="15" x14ac:dyDescent="0.25"/>
  <cols>
    <col min="7" max="7" width="15.42578125" bestFit="1" customWidth="1"/>
    <col min="8" max="8" width="17.42578125" customWidth="1"/>
    <col min="9" max="10" width="17.140625" bestFit="1" customWidth="1"/>
  </cols>
  <sheetData>
    <row r="1" spans="1:10" x14ac:dyDescent="0.25">
      <c r="A1" s="61" t="s">
        <v>122</v>
      </c>
      <c r="B1" s="62" t="s">
        <v>123</v>
      </c>
      <c r="C1" s="62" t="s">
        <v>124</v>
      </c>
      <c r="D1" s="62" t="s">
        <v>125</v>
      </c>
      <c r="E1" s="62" t="s">
        <v>126</v>
      </c>
      <c r="F1" s="63" t="s">
        <v>127</v>
      </c>
      <c r="G1" s="69" t="s">
        <v>5</v>
      </c>
      <c r="H1" s="70" t="s">
        <v>6</v>
      </c>
      <c r="I1" s="68" t="s">
        <v>161</v>
      </c>
      <c r="J1" s="68" t="s">
        <v>162</v>
      </c>
    </row>
    <row r="2" spans="1:10" x14ac:dyDescent="0.25">
      <c r="A2" s="64" t="s">
        <v>128</v>
      </c>
      <c r="B2" s="65" t="s">
        <v>129</v>
      </c>
      <c r="C2" s="65" t="s">
        <v>130</v>
      </c>
      <c r="D2" s="65">
        <v>9</v>
      </c>
      <c r="E2" s="65">
        <v>1</v>
      </c>
      <c r="F2" s="65" t="s">
        <v>131</v>
      </c>
      <c r="G2" s="71">
        <v>45292</v>
      </c>
      <c r="H2" s="71">
        <v>46022</v>
      </c>
      <c r="I2" s="102">
        <v>53400</v>
      </c>
      <c r="J2" s="105">
        <v>71400</v>
      </c>
    </row>
    <row r="3" spans="1:10" x14ac:dyDescent="0.25">
      <c r="A3" s="66" t="s">
        <v>128</v>
      </c>
      <c r="B3" s="67" t="s">
        <v>132</v>
      </c>
      <c r="C3" s="67" t="s">
        <v>130</v>
      </c>
      <c r="D3" s="67">
        <v>10</v>
      </c>
      <c r="E3" s="67">
        <v>1</v>
      </c>
      <c r="F3" s="67" t="s">
        <v>133</v>
      </c>
      <c r="G3" s="71">
        <v>45292</v>
      </c>
      <c r="H3" s="71">
        <v>46022</v>
      </c>
      <c r="I3" s="103"/>
      <c r="J3" s="103"/>
    </row>
    <row r="4" spans="1:10" x14ac:dyDescent="0.25">
      <c r="A4" s="64" t="s">
        <v>128</v>
      </c>
      <c r="B4" s="65" t="s">
        <v>132</v>
      </c>
      <c r="C4" s="65" t="s">
        <v>130</v>
      </c>
      <c r="D4" s="65">
        <v>10</v>
      </c>
      <c r="E4" s="65">
        <v>1</v>
      </c>
      <c r="F4" s="65" t="s">
        <v>134</v>
      </c>
      <c r="G4" s="71">
        <v>45292</v>
      </c>
      <c r="H4" s="71">
        <v>46022</v>
      </c>
      <c r="I4" s="103"/>
      <c r="J4" s="103"/>
    </row>
    <row r="5" spans="1:10" x14ac:dyDescent="0.25">
      <c r="A5" s="66" t="s">
        <v>128</v>
      </c>
      <c r="B5" s="67" t="s">
        <v>132</v>
      </c>
      <c r="C5" s="67" t="s">
        <v>130</v>
      </c>
      <c r="D5" s="67">
        <v>8</v>
      </c>
      <c r="E5" s="67">
        <v>2</v>
      </c>
      <c r="F5" s="67" t="s">
        <v>135</v>
      </c>
      <c r="G5" s="71">
        <v>45292</v>
      </c>
      <c r="H5" s="71">
        <v>46022</v>
      </c>
      <c r="I5" s="103"/>
      <c r="J5" s="103"/>
    </row>
    <row r="6" spans="1:10" x14ac:dyDescent="0.25">
      <c r="A6" s="64" t="s">
        <v>128</v>
      </c>
      <c r="B6" s="65" t="s">
        <v>132</v>
      </c>
      <c r="C6" s="65" t="s">
        <v>130</v>
      </c>
      <c r="D6" s="65">
        <v>8</v>
      </c>
      <c r="E6" s="65">
        <v>2</v>
      </c>
      <c r="F6" s="65" t="s">
        <v>136</v>
      </c>
      <c r="G6" s="71">
        <v>45292</v>
      </c>
      <c r="H6" s="71">
        <v>46022</v>
      </c>
      <c r="I6" s="103"/>
      <c r="J6" s="103"/>
    </row>
    <row r="7" spans="1:10" x14ac:dyDescent="0.25">
      <c r="A7" s="66" t="s">
        <v>128</v>
      </c>
      <c r="B7" s="67" t="s">
        <v>132</v>
      </c>
      <c r="C7" s="67" t="s">
        <v>130</v>
      </c>
      <c r="D7" s="67">
        <v>8</v>
      </c>
      <c r="E7" s="67">
        <v>2</v>
      </c>
      <c r="F7" s="67" t="s">
        <v>137</v>
      </c>
      <c r="G7" s="71">
        <v>45292</v>
      </c>
      <c r="H7" s="71">
        <v>46022</v>
      </c>
      <c r="I7" s="103"/>
      <c r="J7" s="103"/>
    </row>
    <row r="8" spans="1:10" x14ac:dyDescent="0.25">
      <c r="A8" s="64" t="s">
        <v>128</v>
      </c>
      <c r="B8" s="65" t="s">
        <v>132</v>
      </c>
      <c r="C8" s="65" t="s">
        <v>130</v>
      </c>
      <c r="D8" s="65">
        <v>8</v>
      </c>
      <c r="E8" s="65">
        <v>2</v>
      </c>
      <c r="F8" s="65" t="s">
        <v>138</v>
      </c>
      <c r="G8" s="71">
        <v>45292</v>
      </c>
      <c r="H8" s="71">
        <v>46022</v>
      </c>
      <c r="I8" s="104"/>
      <c r="J8" s="104"/>
    </row>
    <row r="9" spans="1:10" x14ac:dyDescent="0.25">
      <c r="A9" s="64" t="s">
        <v>128</v>
      </c>
      <c r="B9" s="65" t="s">
        <v>139</v>
      </c>
      <c r="C9" s="65" t="s">
        <v>130</v>
      </c>
      <c r="D9" s="65">
        <v>6</v>
      </c>
      <c r="E9" s="65">
        <v>2</v>
      </c>
      <c r="F9" s="65" t="s">
        <v>140</v>
      </c>
      <c r="G9" s="71">
        <v>45292</v>
      </c>
      <c r="H9" s="71">
        <v>46022</v>
      </c>
      <c r="I9" s="105">
        <v>97000</v>
      </c>
      <c r="J9" s="105">
        <v>107000</v>
      </c>
    </row>
    <row r="10" spans="1:10" x14ac:dyDescent="0.25">
      <c r="A10" s="66" t="s">
        <v>128</v>
      </c>
      <c r="B10" s="67" t="s">
        <v>139</v>
      </c>
      <c r="C10" s="67" t="s">
        <v>130</v>
      </c>
      <c r="D10" s="67">
        <v>6</v>
      </c>
      <c r="E10" s="67">
        <v>2</v>
      </c>
      <c r="F10" s="67" t="s">
        <v>141</v>
      </c>
      <c r="G10" s="71">
        <v>45292</v>
      </c>
      <c r="H10" s="71">
        <v>46022</v>
      </c>
      <c r="I10" s="103"/>
      <c r="J10" s="103"/>
    </row>
    <row r="11" spans="1:10" x14ac:dyDescent="0.25">
      <c r="A11" s="64" t="s">
        <v>128</v>
      </c>
      <c r="B11" s="65" t="s">
        <v>139</v>
      </c>
      <c r="C11" s="65" t="s">
        <v>130</v>
      </c>
      <c r="D11" s="65">
        <v>6</v>
      </c>
      <c r="E11" s="65">
        <v>2</v>
      </c>
      <c r="F11" s="65" t="s">
        <v>142</v>
      </c>
      <c r="G11" s="71">
        <v>45292</v>
      </c>
      <c r="H11" s="71">
        <v>46022</v>
      </c>
      <c r="I11" s="103"/>
      <c r="J11" s="103"/>
    </row>
    <row r="12" spans="1:10" x14ac:dyDescent="0.25">
      <c r="A12" s="66" t="s">
        <v>128</v>
      </c>
      <c r="B12" s="67" t="s">
        <v>139</v>
      </c>
      <c r="C12" s="67" t="s">
        <v>130</v>
      </c>
      <c r="D12" s="67">
        <v>6</v>
      </c>
      <c r="E12" s="67">
        <v>2</v>
      </c>
      <c r="F12" s="67" t="s">
        <v>143</v>
      </c>
      <c r="G12" s="71">
        <v>45292</v>
      </c>
      <c r="H12" s="71">
        <v>46022</v>
      </c>
      <c r="I12" s="103"/>
      <c r="J12" s="103"/>
    </row>
    <row r="13" spans="1:10" x14ac:dyDescent="0.25">
      <c r="A13" s="64" t="s">
        <v>128</v>
      </c>
      <c r="B13" s="65" t="s">
        <v>139</v>
      </c>
      <c r="C13" s="65" t="s">
        <v>130</v>
      </c>
      <c r="D13" s="65">
        <v>6</v>
      </c>
      <c r="E13" s="65">
        <v>2</v>
      </c>
      <c r="F13" s="65" t="s">
        <v>144</v>
      </c>
      <c r="G13" s="71">
        <v>45292</v>
      </c>
      <c r="H13" s="71">
        <v>46022</v>
      </c>
      <c r="I13" s="103"/>
      <c r="J13" s="103"/>
    </row>
    <row r="14" spans="1:10" x14ac:dyDescent="0.25">
      <c r="A14" s="66" t="s">
        <v>128</v>
      </c>
      <c r="B14" s="67" t="s">
        <v>139</v>
      </c>
      <c r="C14" s="67" t="s">
        <v>130</v>
      </c>
      <c r="D14" s="67">
        <v>6</v>
      </c>
      <c r="E14" s="67">
        <v>2</v>
      </c>
      <c r="F14" s="67" t="s">
        <v>145</v>
      </c>
      <c r="G14" s="71">
        <v>45292</v>
      </c>
      <c r="H14" s="71">
        <v>46022</v>
      </c>
      <c r="I14" s="103"/>
      <c r="J14" s="103"/>
    </row>
    <row r="15" spans="1:10" x14ac:dyDescent="0.25">
      <c r="A15" s="64" t="s">
        <v>128</v>
      </c>
      <c r="B15" s="65" t="s">
        <v>139</v>
      </c>
      <c r="C15" s="65" t="s">
        <v>130</v>
      </c>
      <c r="D15" s="65">
        <v>6</v>
      </c>
      <c r="E15" s="65">
        <v>2</v>
      </c>
      <c r="F15" s="65" t="s">
        <v>146</v>
      </c>
      <c r="G15" s="71">
        <v>45292</v>
      </c>
      <c r="H15" s="71">
        <v>46022</v>
      </c>
      <c r="I15" s="103"/>
      <c r="J15" s="103"/>
    </row>
    <row r="16" spans="1:10" x14ac:dyDescent="0.25">
      <c r="A16" s="66" t="s">
        <v>128</v>
      </c>
      <c r="B16" s="67" t="s">
        <v>139</v>
      </c>
      <c r="C16" s="67" t="s">
        <v>130</v>
      </c>
      <c r="D16" s="67">
        <v>6</v>
      </c>
      <c r="E16" s="67">
        <v>2</v>
      </c>
      <c r="F16" s="67" t="s">
        <v>147</v>
      </c>
      <c r="G16" s="71">
        <v>45292</v>
      </c>
      <c r="H16" s="71">
        <v>46022</v>
      </c>
      <c r="I16" s="103"/>
      <c r="J16" s="103"/>
    </row>
    <row r="17" spans="1:10" x14ac:dyDescent="0.25">
      <c r="A17" s="64" t="s">
        <v>128</v>
      </c>
      <c r="B17" s="65" t="s">
        <v>139</v>
      </c>
      <c r="C17" s="65" t="s">
        <v>130</v>
      </c>
      <c r="D17" s="65">
        <v>6</v>
      </c>
      <c r="E17" s="65">
        <v>2</v>
      </c>
      <c r="F17" s="65" t="s">
        <v>148</v>
      </c>
      <c r="G17" s="71">
        <v>45292</v>
      </c>
      <c r="H17" s="71">
        <v>46022</v>
      </c>
      <c r="I17" s="103"/>
      <c r="J17" s="103"/>
    </row>
    <row r="18" spans="1:10" x14ac:dyDescent="0.25">
      <c r="A18" s="66" t="s">
        <v>128</v>
      </c>
      <c r="B18" s="67" t="s">
        <v>139</v>
      </c>
      <c r="C18" s="67" t="s">
        <v>130</v>
      </c>
      <c r="D18" s="67">
        <v>6</v>
      </c>
      <c r="E18" s="67">
        <v>2</v>
      </c>
      <c r="F18" s="67" t="s">
        <v>149</v>
      </c>
      <c r="G18" s="71">
        <v>45292</v>
      </c>
      <c r="H18" s="71">
        <v>46022</v>
      </c>
      <c r="I18" s="104"/>
      <c r="J18" s="104"/>
    </row>
  </sheetData>
  <mergeCells count="4">
    <mergeCell ref="I2:I8"/>
    <mergeCell ref="I9:I18"/>
    <mergeCell ref="J2:J8"/>
    <mergeCell ref="J9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OFICINA AVD.EUROPA MADRID</vt:lpstr>
      <vt:lpstr>LOCAL BARQUILLO MADRID</vt:lpstr>
      <vt:lpstr>LOCALES REINA MADRID</vt:lpstr>
      <vt:lpstr>EDIFICIO PIAMONTE 23 MADRID</vt:lpstr>
      <vt:lpstr>NAVE AVD CUBA PALENCIA</vt:lpstr>
      <vt:lpstr>OFICINA VALLADOLID</vt:lpstr>
      <vt:lpstr>OFICINA PALENCIA</vt:lpstr>
      <vt:lpstr>PLAZAS ESPRONCEDA(MADRID)</vt:lpstr>
      <vt:lpstr>PLAZAS VALLADOLID</vt:lpstr>
      <vt:lpstr>PLAZAS M.PELAYO(PALENCIA)</vt:lpstr>
      <vt:lpstr>APARTAMENTOS BENIDORM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eguti</dc:creator>
  <cp:lastModifiedBy>Elena Gutierrez Mayordomo</cp:lastModifiedBy>
  <dcterms:created xsi:type="dcterms:W3CDTF">2025-06-13T12:08:17Z</dcterms:created>
  <dcterms:modified xsi:type="dcterms:W3CDTF">2025-12-03T09:58:12Z</dcterms:modified>
</cp:coreProperties>
</file>