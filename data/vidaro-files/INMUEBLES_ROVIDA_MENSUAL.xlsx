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c0630fe4ae09bd8/Desktop/GRUPO VIDARO INMOVA/"/>
    </mc:Choice>
  </mc:AlternateContent>
  <xr:revisionPtr revIDLastSave="1" documentId="13_ncr:1_{99F90C19-1DDB-4CC8-B5F2-74058C825FA3}" xr6:coauthVersionLast="47" xr6:coauthVersionMax="47" xr10:uidLastSave="{B4DCC9B9-C716-4E45-A330-3F03A1723967}"/>
  <bookViews>
    <workbookView xWindow="-108" yWindow="-108" windowWidth="23256" windowHeight="12456" activeTab="2" xr2:uid="{00000000-000D-0000-FFFF-FFFF00000000}"/>
  </bookViews>
  <sheets>
    <sheet name="MANUEL SILVELA" sheetId="1" r:id="rId1"/>
    <sheet name="HERNANDEZ DE TEJADA" sheetId="5" r:id="rId2"/>
    <sheet name="CANDELARIA MORA" sheetId="2" r:id="rId3"/>
    <sheet name="REINA" sheetId="4" r:id="rId4"/>
    <sheet name="M.PELAYO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eguti</author>
  </authors>
  <commentList>
    <comment ref="G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(IVA inc)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eguti</author>
  </authors>
  <commentList>
    <comment ref="D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FACTURADO SIN IVA PORQUE SE NOMBRA AL INQUILINO EN EL CONTRATO
</t>
        </r>
      </text>
    </comment>
  </commentList>
</comments>
</file>

<file path=xl/sharedStrings.xml><?xml version="1.0" encoding="utf-8"?>
<sst xmlns="http://schemas.openxmlformats.org/spreadsheetml/2006/main" count="228" uniqueCount="150">
  <si>
    <t>Nº HABITACIONES</t>
  </si>
  <si>
    <t>FINCA</t>
  </si>
  <si>
    <t>TIPO DE CONTRATO</t>
  </si>
  <si>
    <t>INQUILINO</t>
  </si>
  <si>
    <t>FECHA CONTRATO</t>
  </si>
  <si>
    <t>FIN CONTRATO</t>
  </si>
  <si>
    <t>RENTA</t>
  </si>
  <si>
    <t>M. SILVELA 5,   LOCAL</t>
  </si>
  <si>
    <t>PILATES LAB SL (Sofia)</t>
  </si>
  <si>
    <t>M. SILVELA 5,   BAJO</t>
  </si>
  <si>
    <t>AGENCIA ÁLAMO(TEMPORADA)</t>
  </si>
  <si>
    <t>M. SILVELA 5,   1º A</t>
  </si>
  <si>
    <t>M. SILVELA 5,   1º B</t>
  </si>
  <si>
    <t>LARGA ESTANCIA</t>
  </si>
  <si>
    <t>Sandra Mazoy Sanchez//Dolores</t>
  </si>
  <si>
    <t>M. SILVELA 5,   2º A</t>
  </si>
  <si>
    <t>Maria Luisa Maestro de las Casas</t>
  </si>
  <si>
    <t>M. SILVELA 5,   2º B</t>
  </si>
  <si>
    <t>Fernando Lunar Placer</t>
  </si>
  <si>
    <t>María Sanz</t>
  </si>
  <si>
    <t>M. SILVELA 5,   3º A</t>
  </si>
  <si>
    <t>Emma Arango Lago; Felipe Ocampo Lizarralde</t>
  </si>
  <si>
    <t>M. SILVELA 5,   3º B</t>
  </si>
  <si>
    <t>Federico Pensado</t>
  </si>
  <si>
    <t>2(2B)</t>
  </si>
  <si>
    <t>M. SILVELA 5,   4º A</t>
  </si>
  <si>
    <t>Ana Camila Chavez Castañeda//Valentina Chavez Castañeda</t>
  </si>
  <si>
    <t>M. SILVELA 5,   4º B</t>
  </si>
  <si>
    <t>Jean-Claude Khoury</t>
  </si>
  <si>
    <t>M .SILVELA 5,   5º A</t>
  </si>
  <si>
    <t>M. SILVELA 5,   5º B</t>
  </si>
  <si>
    <t>M. SILVELA 5,   6º A</t>
  </si>
  <si>
    <t>Jorge Andújar Hernandez</t>
  </si>
  <si>
    <t>M. SILVELA 5,   6º B</t>
  </si>
  <si>
    <t>Sofia Lazaro Mozo</t>
  </si>
  <si>
    <t>M. SILVELA 5,   6º C</t>
  </si>
  <si>
    <t>Julian Abou-Jaoude</t>
  </si>
  <si>
    <t>293/11/2022</t>
  </si>
  <si>
    <t>Inmueble (todos una habitación menos los duplex 2h)</t>
  </si>
  <si>
    <t>Inquilinos</t>
  </si>
  <si>
    <t>Fecha inicio</t>
  </si>
  <si>
    <t xml:space="preserve">Fecha Fin </t>
  </si>
  <si>
    <t>1A -Apartamento+ garaje n.11 (-1)</t>
  </si>
  <si>
    <t>Iria Meléndez Pérez</t>
  </si>
  <si>
    <t>María Azucena Pérez Fernández (es la madre)</t>
  </si>
  <si>
    <t>1B - Apartamento + garaje n.1 (-1)</t>
  </si>
  <si>
    <t>SPOTAHOME(CONTRATO TEMPORADA)</t>
  </si>
  <si>
    <t>1C - Apartamento + garaje n.14 (-2)</t>
  </si>
  <si>
    <t>Carlos Espín Hidalgo (padre)</t>
  </si>
  <si>
    <t>1D - Duplex + garaje n.4 (-1)--2 hab</t>
  </si>
  <si>
    <t>Claudio Enrique Ortiz Ortiz</t>
  </si>
  <si>
    <t>1E - Duplex + garaje n.8 (-1)--2 hab</t>
  </si>
  <si>
    <t>2A - Apartamento + garaje n.12 (-2)</t>
  </si>
  <si>
    <t>ÁLAMO(CONTRATO TEMPORADA)</t>
  </si>
  <si>
    <t>2B - Apartamento + garaje n.5 (-1)</t>
  </si>
  <si>
    <t>Daniel Cuesta Villegas</t>
  </si>
  <si>
    <t>2C - Apartamento + garaje n.2 (-1)</t>
  </si>
  <si>
    <t>María José Nava Sacristán</t>
  </si>
  <si>
    <t>Vicenta Sacristán(madre)</t>
  </si>
  <si>
    <t>3A - Apartamento + garaje n.13 (-2)</t>
  </si>
  <si>
    <t>3B - Apartamento + garaje n.10 (-1)</t>
  </si>
  <si>
    <t>3C - Apartamento + garaje n.9 (-1)</t>
  </si>
  <si>
    <t>Jiaxiang Zhang</t>
  </si>
  <si>
    <t>4A - Apartamento + garaje n.3 (-1)</t>
  </si>
  <si>
    <t>Sofía Olegovna Goldakova</t>
  </si>
  <si>
    <t>4B - Apartamento + garaje n.6 (-1)</t>
  </si>
  <si>
    <t>Dylan Becker</t>
  </si>
  <si>
    <t>4C - Apartamento + garaje n.7 (-1)</t>
  </si>
  <si>
    <t>Salvador David Minguez Baena</t>
  </si>
  <si>
    <t>CONTRATO ALQUILER EMPRESA</t>
  </si>
  <si>
    <t>Telxius Torres España S.L.U.</t>
  </si>
  <si>
    <t>Desde obtención permisos</t>
  </si>
  <si>
    <t>CONTACTO</t>
  </si>
  <si>
    <t>M.Pelayo 15 1ºdcha</t>
  </si>
  <si>
    <t>USO FAMILIAR</t>
  </si>
  <si>
    <t>M.Pelayo 15 4º dcha(plaza garaje Rovida)</t>
  </si>
  <si>
    <t>Beatriz Ballesteros</t>
  </si>
  <si>
    <t>M.Pelayo 15 5º ático</t>
  </si>
  <si>
    <t>Roams Tic, SL</t>
  </si>
  <si>
    <t>C/REINA 15,  1º A</t>
  </si>
  <si>
    <t>CONTRATO TEMPORADA(GUIDEBRIGE)</t>
  </si>
  <si>
    <t>C/REINA 15,  1º B</t>
  </si>
  <si>
    <t>C/REINA 15,  1º C</t>
  </si>
  <si>
    <t>C/REINA 15,  1º D</t>
  </si>
  <si>
    <t>C/REINA 15,  2º A</t>
  </si>
  <si>
    <t>C/REINA 15,  2º B</t>
  </si>
  <si>
    <t>C/REINA 15,  2º C</t>
  </si>
  <si>
    <t>C/REINA 15,  2º D</t>
  </si>
  <si>
    <t>C/REINA 15,  3º A</t>
  </si>
  <si>
    <t>C/REINA 15,  3º B</t>
  </si>
  <si>
    <t>C/REINA 15,  3º C</t>
  </si>
  <si>
    <t>C/REINA 15,  3º D</t>
  </si>
  <si>
    <t>C/REINA 15,  4º A</t>
  </si>
  <si>
    <t>Francisco José Batista</t>
  </si>
  <si>
    <t>C/REINA 15,  4º B</t>
  </si>
  <si>
    <t>C/REINA 15,  4º C</t>
  </si>
  <si>
    <t>FIANZA</t>
  </si>
  <si>
    <t>David Setton Katz</t>
  </si>
  <si>
    <t>Giovanni  Inamorato</t>
  </si>
  <si>
    <t>salón-cocina-dormitorio</t>
  </si>
  <si>
    <t>Tejado para antena telefonía</t>
  </si>
  <si>
    <t>Vincent Leo</t>
  </si>
  <si>
    <t>Raya Atanasova</t>
  </si>
  <si>
    <t>Isaac Garza</t>
  </si>
  <si>
    <t>CONTRATO TEMPORADA (ALAMO)</t>
  </si>
  <si>
    <t>Gabriel</t>
  </si>
  <si>
    <t>Charles</t>
  </si>
  <si>
    <t>Holuma Consulting</t>
  </si>
  <si>
    <t>Valentina</t>
  </si>
  <si>
    <t>AGENCI VIVIENDA 2</t>
  </si>
  <si>
    <t>Josephine Marie</t>
  </si>
  <si>
    <t>Yazmine</t>
  </si>
  <si>
    <t>Yi Ding</t>
  </si>
  <si>
    <t>Maria Antonia</t>
  </si>
  <si>
    <t>VACIO</t>
  </si>
  <si>
    <t>HERNANDEZ DE TEJADA 6,   1º A</t>
  </si>
  <si>
    <t>HERNANDEZ DE TEJADA 6,   1º B</t>
  </si>
  <si>
    <t>HERNANDEZ DE TEJADA 6,   1º C</t>
  </si>
  <si>
    <t>HERNANDEZ DE TEJADA 6,   2º A</t>
  </si>
  <si>
    <t>HERNANDEZ DE TEJADA 6,   2º B</t>
  </si>
  <si>
    <t>HERNANDEZ DE TEJADA 6,   2º C</t>
  </si>
  <si>
    <t>HERNANDEZ DE TEJADA 6,   3º B</t>
  </si>
  <si>
    <t>HERNANDEZ DE TEJADA 6,   4º A</t>
  </si>
  <si>
    <t>HERNANDEZ DE TEJADA 6,   4º B</t>
  </si>
  <si>
    <t>HERNANDEZ DE TEJADA 6,   4º C</t>
  </si>
  <si>
    <t>HERNANDEZ DE TEJADA 6,   3º A</t>
  </si>
  <si>
    <t>HERNANDEZ DE TEJADA 6,   3º C</t>
  </si>
  <si>
    <t>Tiago Miguel Marque Andrade</t>
  </si>
  <si>
    <t>ACTUALIZACION RENTA</t>
  </si>
  <si>
    <t>Marta Perales De Vivar</t>
  </si>
  <si>
    <t>Pablo Coromoto Figueroa Herrrera</t>
  </si>
  <si>
    <t>CADA AÑO DE VIGENCIA</t>
  </si>
  <si>
    <t>LYDIA SANCHEZ MARTIN</t>
  </si>
  <si>
    <t>ROCIO CRUZ CHAVES</t>
  </si>
  <si>
    <t>CRISTOBAL VEGA JAVIER</t>
  </si>
  <si>
    <t>ARANZAZU GOMEZ GUTIERREZ</t>
  </si>
  <si>
    <t>CONTRATO TEMPORADA(ÁLAMO)</t>
  </si>
  <si>
    <t>Alexander de Filippo</t>
  </si>
  <si>
    <t>Mª DE LAS NIEVES CASAIS DE LA ROSA</t>
  </si>
  <si>
    <r>
      <t xml:space="preserve">07/11/2025 </t>
    </r>
    <r>
      <rPr>
        <b/>
        <sz val="11"/>
        <color theme="1"/>
        <rFont val="Calibri"/>
        <family val="2"/>
        <scheme val="minor"/>
      </rPr>
      <t>se extiende hasta 2026</t>
    </r>
  </si>
  <si>
    <r>
      <t xml:space="preserve">30/09/2025 </t>
    </r>
    <r>
      <rPr>
        <b/>
        <sz val="11"/>
        <color theme="1"/>
        <rFont val="Calibri"/>
        <family val="2"/>
        <scheme val="minor"/>
      </rPr>
      <t>se extiende hasta 2026</t>
    </r>
  </si>
  <si>
    <t>de 7 a 11 meses</t>
  </si>
  <si>
    <t>TEMPORADA</t>
  </si>
  <si>
    <t>ALEJANDRA KOROVAICHUK</t>
  </si>
  <si>
    <t>MIRIAM CALERO</t>
  </si>
  <si>
    <t>ESTEFANIA PABLOS</t>
  </si>
  <si>
    <t>JOSE ALFONSO GEMA</t>
  </si>
  <si>
    <t>Riccardo Roberto</t>
  </si>
  <si>
    <t>Emma</t>
  </si>
  <si>
    <t xml:space="preserve">Clermont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</si>
</sst>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0" xfId="1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14" fontId="0" fillId="0" borderId="0" xfId="0" applyNumberFormat="1"/>
    <xf numFmtId="0" fontId="3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0" fillId="9" borderId="3" xfId="0" applyFill="1" applyBorder="1" applyAlignment="1">
      <alignment horizontal="left" vertical="center"/>
    </xf>
    <xf numFmtId="14" fontId="0" fillId="9" borderId="1" xfId="0" applyNumberFormat="1" applyFill="1" applyBorder="1" applyAlignment="1">
      <alignment horizontal="center" vertical="center"/>
    </xf>
    <xf numFmtId="164" fontId="2" fillId="9" borderId="1" xfId="1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164" fontId="2" fillId="0" borderId="5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1" applyNumberFormat="1" applyFont="1" applyBorder="1" applyAlignment="1">
      <alignment horizontal="center" vertical="center"/>
    </xf>
    <xf numFmtId="0" fontId="2" fillId="0" borderId="5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72"/>
  <sheetViews>
    <sheetView workbookViewId="0">
      <selection activeCell="G2" sqref="G2:G17"/>
    </sheetView>
  </sheetViews>
  <sheetFormatPr baseColWidth="10" defaultColWidth="11.5546875" defaultRowHeight="14.4" x14ac:dyDescent="0.3"/>
  <cols>
    <col min="1" max="1" width="16.44140625" style="21" bestFit="1" customWidth="1"/>
    <col min="2" max="2" width="20.109375" style="23" bestFit="1" customWidth="1"/>
    <col min="3" max="3" width="34" bestFit="1" customWidth="1"/>
    <col min="4" max="4" width="41" customWidth="1"/>
    <col min="5" max="5" width="17.109375" style="21" bestFit="1" customWidth="1"/>
    <col min="6" max="6" width="31" style="21" bestFit="1" customWidth="1"/>
    <col min="7" max="7" width="13" style="22" bestFit="1" customWidth="1"/>
  </cols>
  <sheetData>
    <row r="1" spans="1:7" s="4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s="4" customFormat="1" x14ac:dyDescent="0.3">
      <c r="A2" s="5"/>
      <c r="B2" s="6" t="s">
        <v>7</v>
      </c>
      <c r="C2" s="7"/>
      <c r="D2" s="7" t="s">
        <v>8</v>
      </c>
      <c r="E2" s="8">
        <v>45375</v>
      </c>
      <c r="F2" s="9">
        <v>47200</v>
      </c>
      <c r="G2" s="10">
        <v>6578.82</v>
      </c>
    </row>
    <row r="3" spans="1:7" s="4" customFormat="1" ht="28.8" x14ac:dyDescent="0.3">
      <c r="A3" s="64" t="s">
        <v>99</v>
      </c>
      <c r="B3" s="12" t="s">
        <v>9</v>
      </c>
      <c r="C3" s="74" t="s">
        <v>114</v>
      </c>
      <c r="D3" s="75"/>
      <c r="E3" s="76"/>
      <c r="F3" s="76"/>
      <c r="G3" s="77"/>
    </row>
    <row r="4" spans="1:7" s="4" customFormat="1" x14ac:dyDescent="0.3">
      <c r="A4" s="11">
        <v>3</v>
      </c>
      <c r="B4" s="6" t="s">
        <v>11</v>
      </c>
      <c r="C4" s="13" t="s">
        <v>109</v>
      </c>
      <c r="D4" s="66" t="s">
        <v>110</v>
      </c>
      <c r="E4" s="8">
        <v>45883</v>
      </c>
      <c r="F4" s="8">
        <v>46217</v>
      </c>
      <c r="G4" s="20">
        <v>3750</v>
      </c>
    </row>
    <row r="5" spans="1:7" s="4" customFormat="1" x14ac:dyDescent="0.3">
      <c r="A5" s="11">
        <v>1</v>
      </c>
      <c r="B5" s="15" t="s">
        <v>12</v>
      </c>
      <c r="C5" s="7" t="s">
        <v>13</v>
      </c>
      <c r="D5" s="7" t="s">
        <v>14</v>
      </c>
      <c r="E5" s="8">
        <v>43724</v>
      </c>
      <c r="F5" s="8">
        <v>45184</v>
      </c>
      <c r="G5" s="10">
        <f>1315.29*1.03</f>
        <v>1354.7487000000001</v>
      </c>
    </row>
    <row r="6" spans="1:7" s="4" customFormat="1" x14ac:dyDescent="0.3">
      <c r="A6" s="11">
        <v>2</v>
      </c>
      <c r="B6" s="15" t="s">
        <v>15</v>
      </c>
      <c r="C6" s="7" t="s">
        <v>13</v>
      </c>
      <c r="D6" s="7" t="s">
        <v>16</v>
      </c>
      <c r="E6" s="8">
        <v>44713</v>
      </c>
      <c r="F6" s="8">
        <v>47269</v>
      </c>
      <c r="G6" s="16">
        <v>2147.4299999999998</v>
      </c>
    </row>
    <row r="7" spans="1:7" s="4" customFormat="1" x14ac:dyDescent="0.3">
      <c r="A7" s="81">
        <v>1</v>
      </c>
      <c r="B7" s="83" t="s">
        <v>17</v>
      </c>
      <c r="C7" s="7" t="s">
        <v>13</v>
      </c>
      <c r="D7" s="7" t="s">
        <v>18</v>
      </c>
      <c r="E7" s="84">
        <v>43798</v>
      </c>
      <c r="F7" s="84">
        <v>46354</v>
      </c>
      <c r="G7" s="79">
        <f>1746.33</f>
        <v>1746.33</v>
      </c>
    </row>
    <row r="8" spans="1:7" s="4" customFormat="1" x14ac:dyDescent="0.3">
      <c r="A8" s="82"/>
      <c r="B8" s="83"/>
      <c r="C8" s="7" t="s">
        <v>13</v>
      </c>
      <c r="D8" s="7" t="s">
        <v>19</v>
      </c>
      <c r="E8" s="85"/>
      <c r="F8" s="85"/>
      <c r="G8" s="80"/>
    </row>
    <row r="9" spans="1:7" s="4" customFormat="1" x14ac:dyDescent="0.3">
      <c r="A9" s="17">
        <v>2</v>
      </c>
      <c r="B9" s="15" t="s">
        <v>20</v>
      </c>
      <c r="C9" s="7" t="s">
        <v>13</v>
      </c>
      <c r="D9" s="7" t="s">
        <v>21</v>
      </c>
      <c r="E9" s="8">
        <v>45778</v>
      </c>
      <c r="F9" s="8"/>
      <c r="G9" s="16">
        <v>2900</v>
      </c>
    </row>
    <row r="10" spans="1:7" s="4" customFormat="1" x14ac:dyDescent="0.3">
      <c r="A10" s="11">
        <v>1</v>
      </c>
      <c r="B10" s="15" t="s">
        <v>22</v>
      </c>
      <c r="C10" s="13" t="s">
        <v>10</v>
      </c>
      <c r="D10" s="7" t="s">
        <v>23</v>
      </c>
      <c r="E10" s="8">
        <v>45778</v>
      </c>
      <c r="F10" s="8">
        <v>46112</v>
      </c>
      <c r="G10" s="16">
        <v>2350</v>
      </c>
    </row>
    <row r="11" spans="1:7" s="4" customFormat="1" ht="28.8" x14ac:dyDescent="0.3">
      <c r="A11" s="17" t="s">
        <v>24</v>
      </c>
      <c r="B11" s="15" t="s">
        <v>25</v>
      </c>
      <c r="C11" s="18" t="s">
        <v>13</v>
      </c>
      <c r="D11" s="18" t="s">
        <v>26</v>
      </c>
      <c r="E11" s="19">
        <v>45470</v>
      </c>
      <c r="F11" s="19">
        <v>46199</v>
      </c>
      <c r="G11" s="10">
        <v>3365.67</v>
      </c>
    </row>
    <row r="12" spans="1:7" s="4" customFormat="1" x14ac:dyDescent="0.3">
      <c r="A12" s="17">
        <v>1</v>
      </c>
      <c r="B12" s="15" t="s">
        <v>27</v>
      </c>
      <c r="C12" s="13" t="s">
        <v>10</v>
      </c>
      <c r="D12" s="7" t="s">
        <v>28</v>
      </c>
      <c r="E12" s="8">
        <v>45778</v>
      </c>
      <c r="F12" s="8">
        <v>46203</v>
      </c>
      <c r="G12" s="16">
        <v>2200</v>
      </c>
    </row>
    <row r="13" spans="1:7" s="4" customFormat="1" x14ac:dyDescent="0.3">
      <c r="A13" s="17" t="s">
        <v>24</v>
      </c>
      <c r="B13" s="15" t="s">
        <v>29</v>
      </c>
      <c r="C13" s="7" t="s">
        <v>13</v>
      </c>
      <c r="D13" s="7" t="s">
        <v>97</v>
      </c>
      <c r="E13" s="8">
        <v>45839</v>
      </c>
      <c r="F13" s="8">
        <v>48395</v>
      </c>
      <c r="G13" s="16">
        <v>3100</v>
      </c>
    </row>
    <row r="14" spans="1:7" s="4" customFormat="1" x14ac:dyDescent="0.3">
      <c r="A14" s="17">
        <v>1</v>
      </c>
      <c r="B14" s="15" t="s">
        <v>30</v>
      </c>
      <c r="C14" s="13" t="s">
        <v>10</v>
      </c>
      <c r="D14" s="7" t="s">
        <v>103</v>
      </c>
      <c r="E14" s="8">
        <v>45901</v>
      </c>
      <c r="F14" s="8">
        <v>46235</v>
      </c>
      <c r="G14" s="16">
        <v>2350</v>
      </c>
    </row>
    <row r="15" spans="1:7" s="4" customFormat="1" x14ac:dyDescent="0.3">
      <c r="A15" s="17">
        <v>1</v>
      </c>
      <c r="B15" s="15" t="s">
        <v>31</v>
      </c>
      <c r="C15" s="7" t="s">
        <v>13</v>
      </c>
      <c r="D15" s="7" t="s">
        <v>32</v>
      </c>
      <c r="E15" s="8">
        <v>44027</v>
      </c>
      <c r="F15" s="8">
        <v>46582</v>
      </c>
      <c r="G15" s="10">
        <v>1803.52</v>
      </c>
    </row>
    <row r="16" spans="1:7" s="4" customFormat="1" x14ac:dyDescent="0.3">
      <c r="A16" s="17">
        <v>1</v>
      </c>
      <c r="B16" s="15" t="s">
        <v>33</v>
      </c>
      <c r="C16" s="7" t="s">
        <v>13</v>
      </c>
      <c r="D16" s="7" t="s">
        <v>34</v>
      </c>
      <c r="E16" s="8">
        <v>44696</v>
      </c>
      <c r="F16" s="8">
        <v>47252</v>
      </c>
      <c r="G16" s="10">
        <v>1449.51</v>
      </c>
    </row>
    <row r="17" spans="1:7" s="4" customFormat="1" x14ac:dyDescent="0.3">
      <c r="A17" s="17">
        <v>1</v>
      </c>
      <c r="B17" s="15" t="s">
        <v>35</v>
      </c>
      <c r="C17" s="13" t="s">
        <v>10</v>
      </c>
      <c r="D17" s="7" t="s">
        <v>36</v>
      </c>
      <c r="E17" s="8">
        <v>46006</v>
      </c>
      <c r="F17" s="78" t="s">
        <v>141</v>
      </c>
      <c r="G17" s="10">
        <v>2700</v>
      </c>
    </row>
    <row r="18" spans="1:7" x14ac:dyDescent="0.3">
      <c r="A18"/>
      <c r="B18"/>
    </row>
    <row r="19" spans="1:7" x14ac:dyDescent="0.3">
      <c r="F19" s="23"/>
    </row>
    <row r="20" spans="1:7" x14ac:dyDescent="0.3">
      <c r="F20" s="24"/>
    </row>
    <row r="188" spans="3:4" x14ac:dyDescent="0.3">
      <c r="C188" s="25"/>
      <c r="D188" s="25">
        <v>45096</v>
      </c>
    </row>
    <row r="4472" spans="20:20" x14ac:dyDescent="0.3">
      <c r="T4472" s="26" t="s">
        <v>37</v>
      </c>
    </row>
  </sheetData>
  <mergeCells count="5">
    <mergeCell ref="G7:G8"/>
    <mergeCell ref="A7:A8"/>
    <mergeCell ref="B7:B8"/>
    <mergeCell ref="E7:E8"/>
    <mergeCell ref="F7:F8"/>
  </mergeCells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70"/>
  <sheetViews>
    <sheetView workbookViewId="0">
      <selection activeCell="C18" sqref="C18"/>
    </sheetView>
  </sheetViews>
  <sheetFormatPr baseColWidth="10" defaultColWidth="11.5546875" defaultRowHeight="14.4" x14ac:dyDescent="0.3"/>
  <cols>
    <col min="1" max="1" width="28.6640625" style="23" customWidth="1"/>
    <col min="2" max="2" width="34" bestFit="1" customWidth="1"/>
    <col min="3" max="3" width="41" customWidth="1"/>
    <col min="4" max="4" width="17.109375" style="21" bestFit="1" customWidth="1"/>
    <col min="5" max="5" width="31.6640625" style="21" bestFit="1" customWidth="1"/>
    <col min="6" max="6" width="13" style="22" bestFit="1" customWidth="1"/>
    <col min="7" max="7" width="21.33203125" bestFit="1" customWidth="1"/>
  </cols>
  <sheetData>
    <row r="1" spans="1:7" s="4" customFormat="1" x14ac:dyDescent="0.3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128</v>
      </c>
    </row>
    <row r="2" spans="1:7" s="4" customFormat="1" x14ac:dyDescent="0.3">
      <c r="A2" s="6" t="s">
        <v>115</v>
      </c>
      <c r="B2" s="7" t="s">
        <v>13</v>
      </c>
      <c r="C2" s="14" t="s">
        <v>127</v>
      </c>
      <c r="D2" s="8">
        <v>44020</v>
      </c>
      <c r="E2" s="8">
        <v>46941</v>
      </c>
      <c r="F2" s="20">
        <v>985.13</v>
      </c>
      <c r="G2" s="70" t="s">
        <v>131</v>
      </c>
    </row>
    <row r="3" spans="1:7" s="4" customFormat="1" x14ac:dyDescent="0.3">
      <c r="A3" s="15" t="s">
        <v>116</v>
      </c>
      <c r="B3" s="7" t="s">
        <v>13</v>
      </c>
      <c r="C3" s="7" t="s">
        <v>129</v>
      </c>
      <c r="D3" s="8">
        <v>42643</v>
      </c>
      <c r="E3" s="8" t="s">
        <v>140</v>
      </c>
      <c r="F3" s="71">
        <v>946.67</v>
      </c>
      <c r="G3" s="70" t="s">
        <v>131</v>
      </c>
    </row>
    <row r="4" spans="1:7" s="4" customFormat="1" x14ac:dyDescent="0.3">
      <c r="A4" s="15" t="s">
        <v>117</v>
      </c>
      <c r="B4" s="7" t="s">
        <v>13</v>
      </c>
      <c r="C4" s="7" t="s">
        <v>130</v>
      </c>
      <c r="D4" s="8">
        <v>45450</v>
      </c>
      <c r="E4" s="8">
        <v>48372</v>
      </c>
      <c r="F4" s="71">
        <v>1121.8900000000001</v>
      </c>
      <c r="G4" s="70" t="s">
        <v>131</v>
      </c>
    </row>
    <row r="5" spans="1:7" s="4" customFormat="1" x14ac:dyDescent="0.3">
      <c r="A5" s="15" t="s">
        <v>118</v>
      </c>
      <c r="B5" s="7" t="s">
        <v>13</v>
      </c>
      <c r="C5" s="7" t="s">
        <v>132</v>
      </c>
      <c r="D5" s="8">
        <v>45596</v>
      </c>
      <c r="E5" s="8">
        <v>48518</v>
      </c>
      <c r="F5" s="72">
        <v>1133</v>
      </c>
      <c r="G5" s="70" t="s">
        <v>131</v>
      </c>
    </row>
    <row r="6" spans="1:7" s="4" customFormat="1" x14ac:dyDescent="0.3">
      <c r="A6" s="83" t="s">
        <v>119</v>
      </c>
      <c r="B6" s="91" t="s">
        <v>13</v>
      </c>
      <c r="C6" s="91" t="s">
        <v>133</v>
      </c>
      <c r="D6" s="84">
        <v>42681</v>
      </c>
      <c r="E6" s="84" t="s">
        <v>139</v>
      </c>
      <c r="F6" s="87">
        <v>1023.29</v>
      </c>
      <c r="G6" s="86" t="s">
        <v>131</v>
      </c>
    </row>
    <row r="7" spans="1:7" s="4" customFormat="1" x14ac:dyDescent="0.3">
      <c r="A7" s="83"/>
      <c r="B7" s="90"/>
      <c r="C7" s="90"/>
      <c r="D7" s="85"/>
      <c r="E7" s="85"/>
      <c r="F7" s="88"/>
      <c r="G7" s="86"/>
    </row>
    <row r="8" spans="1:7" s="4" customFormat="1" x14ac:dyDescent="0.3">
      <c r="A8" s="83" t="s">
        <v>120</v>
      </c>
      <c r="B8" s="89" t="s">
        <v>114</v>
      </c>
      <c r="C8" s="92"/>
      <c r="D8" s="92"/>
      <c r="E8" s="92"/>
      <c r="F8" s="87"/>
    </row>
    <row r="9" spans="1:7" s="4" customFormat="1" x14ac:dyDescent="0.3">
      <c r="A9" s="83"/>
      <c r="B9" s="90"/>
      <c r="C9" s="85"/>
      <c r="D9" s="85"/>
      <c r="E9" s="85"/>
      <c r="F9" s="88"/>
    </row>
    <row r="10" spans="1:7" s="4" customFormat="1" x14ac:dyDescent="0.3">
      <c r="A10" s="15" t="s">
        <v>125</v>
      </c>
      <c r="B10" s="7" t="s">
        <v>13</v>
      </c>
      <c r="C10" s="7" t="s">
        <v>134</v>
      </c>
      <c r="D10" s="8">
        <v>45173</v>
      </c>
      <c r="E10" s="8">
        <v>48095</v>
      </c>
      <c r="F10" s="72">
        <v>1053.33</v>
      </c>
      <c r="G10" s="86" t="s">
        <v>131</v>
      </c>
    </row>
    <row r="11" spans="1:7" s="4" customFormat="1" x14ac:dyDescent="0.3">
      <c r="A11" s="15" t="s">
        <v>121</v>
      </c>
      <c r="B11" s="7" t="s">
        <v>13</v>
      </c>
      <c r="C11" s="7" t="s">
        <v>138</v>
      </c>
      <c r="D11" s="8">
        <v>45673</v>
      </c>
      <c r="E11" s="8">
        <v>48595</v>
      </c>
      <c r="F11" s="72">
        <v>1100</v>
      </c>
      <c r="G11" s="86"/>
    </row>
    <row r="12" spans="1:7" s="4" customFormat="1" x14ac:dyDescent="0.3">
      <c r="A12" s="15" t="s">
        <v>126</v>
      </c>
      <c r="B12" s="69" t="s">
        <v>114</v>
      </c>
      <c r="C12" s="68"/>
      <c r="D12" s="19"/>
      <c r="E12" s="19"/>
      <c r="F12" s="72"/>
    </row>
    <row r="13" spans="1:7" s="4" customFormat="1" x14ac:dyDescent="0.3">
      <c r="A13" s="15" t="s">
        <v>122</v>
      </c>
      <c r="B13" s="69" t="s">
        <v>142</v>
      </c>
      <c r="C13" s="18" t="s">
        <v>143</v>
      </c>
      <c r="D13" s="19">
        <v>46031</v>
      </c>
      <c r="E13" s="19">
        <v>46090</v>
      </c>
      <c r="F13" s="71">
        <v>1950</v>
      </c>
    </row>
    <row r="14" spans="1:7" s="4" customFormat="1" x14ac:dyDescent="0.3">
      <c r="A14" s="15" t="s">
        <v>123</v>
      </c>
      <c r="B14" s="69" t="s">
        <v>114</v>
      </c>
      <c r="C14" s="7"/>
      <c r="D14" s="8"/>
      <c r="E14" s="8"/>
      <c r="F14" s="72"/>
    </row>
    <row r="15" spans="1:7" s="4" customFormat="1" x14ac:dyDescent="0.3">
      <c r="A15" s="15" t="s">
        <v>124</v>
      </c>
      <c r="B15" s="7" t="s">
        <v>13</v>
      </c>
      <c r="C15" s="7" t="s">
        <v>135</v>
      </c>
      <c r="D15" s="8">
        <v>44685</v>
      </c>
      <c r="E15" s="8">
        <v>47607</v>
      </c>
      <c r="F15" s="72">
        <v>1076.8900000000001</v>
      </c>
      <c r="G15" s="73" t="s">
        <v>131</v>
      </c>
    </row>
    <row r="16" spans="1:7" x14ac:dyDescent="0.3">
      <c r="A16"/>
      <c r="G16" s="73"/>
    </row>
    <row r="17" spans="5:5" x14ac:dyDescent="0.3">
      <c r="E17" s="23"/>
    </row>
    <row r="18" spans="5:5" x14ac:dyDescent="0.3">
      <c r="E18" s="24"/>
    </row>
    <row r="186" spans="2:3" x14ac:dyDescent="0.3">
      <c r="B186" s="25"/>
      <c r="C186" s="25">
        <v>45096</v>
      </c>
    </row>
    <row r="4470" spans="19:19" x14ac:dyDescent="0.3">
      <c r="S4470" s="26" t="s">
        <v>37</v>
      </c>
    </row>
  </sheetData>
  <mergeCells count="14">
    <mergeCell ref="G6:G7"/>
    <mergeCell ref="G10:G11"/>
    <mergeCell ref="A6:A7"/>
    <mergeCell ref="E6:E7"/>
    <mergeCell ref="F6:F7"/>
    <mergeCell ref="A8:A9"/>
    <mergeCell ref="B8:B9"/>
    <mergeCell ref="F8:F9"/>
    <mergeCell ref="B6:B7"/>
    <mergeCell ref="C6:C7"/>
    <mergeCell ref="C8:C9"/>
    <mergeCell ref="D8:D9"/>
    <mergeCell ref="E8:E9"/>
    <mergeCell ref="D6:D7"/>
  </mergeCells>
  <pageMargins left="0.7" right="0.7" top="0.75" bottom="0.75" header="0.3" footer="0.3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abSelected="1" topLeftCell="A2" workbookViewId="0">
      <selection activeCell="E2" sqref="E2:E21"/>
    </sheetView>
  </sheetViews>
  <sheetFormatPr baseColWidth="10" defaultColWidth="11.5546875" defaultRowHeight="14.4" x14ac:dyDescent="0.3"/>
  <cols>
    <col min="1" max="1" width="15.5546875" style="29" customWidth="1"/>
    <col min="2" max="2" width="29" style="45" bestFit="1" customWidth="1"/>
    <col min="3" max="3" width="29" style="45" customWidth="1"/>
    <col min="4" max="4" width="29.44140625" style="29" customWidth="1"/>
    <col min="5" max="5" width="15.6640625" style="44" customWidth="1"/>
    <col min="6" max="6" width="16.6640625" style="29" customWidth="1"/>
    <col min="7" max="7" width="18.109375" style="29" bestFit="1" customWidth="1"/>
    <col min="8" max="16384" width="11.5546875" style="29"/>
  </cols>
  <sheetData>
    <row r="1" spans="1:7" ht="27.6" x14ac:dyDescent="0.3">
      <c r="A1" s="27" t="s">
        <v>0</v>
      </c>
      <c r="B1" s="27" t="s">
        <v>38</v>
      </c>
      <c r="C1" s="27" t="s">
        <v>2</v>
      </c>
      <c r="D1" s="27" t="s">
        <v>39</v>
      </c>
      <c r="E1" s="28" t="s">
        <v>6</v>
      </c>
      <c r="F1" s="27" t="s">
        <v>40</v>
      </c>
      <c r="G1" s="27" t="s">
        <v>41</v>
      </c>
    </row>
    <row r="2" spans="1:7" ht="14.4" customHeight="1" x14ac:dyDescent="0.3">
      <c r="A2" s="105">
        <v>1</v>
      </c>
      <c r="B2" s="104" t="s">
        <v>42</v>
      </c>
      <c r="C2" s="97" t="s">
        <v>13</v>
      </c>
      <c r="D2" s="30" t="s">
        <v>43</v>
      </c>
      <c r="E2" s="97">
        <v>857.29</v>
      </c>
      <c r="F2" s="93">
        <v>44844</v>
      </c>
      <c r="G2" s="93">
        <v>47401</v>
      </c>
    </row>
    <row r="3" spans="1:7" ht="27.6" x14ac:dyDescent="0.3">
      <c r="A3" s="105"/>
      <c r="B3" s="104"/>
      <c r="C3" s="100"/>
      <c r="D3" s="30" t="s">
        <v>44</v>
      </c>
      <c r="E3" s="100"/>
      <c r="F3" s="94"/>
      <c r="G3" s="94"/>
    </row>
    <row r="4" spans="1:7" x14ac:dyDescent="0.3">
      <c r="A4" s="62">
        <v>1</v>
      </c>
      <c r="B4" s="31" t="s">
        <v>45</v>
      </c>
      <c r="C4" s="32" t="s">
        <v>114</v>
      </c>
      <c r="D4" s="30"/>
      <c r="E4" s="33"/>
      <c r="F4" s="34"/>
      <c r="G4" s="34"/>
    </row>
    <row r="5" spans="1:7" ht="14.4" customHeight="1" x14ac:dyDescent="0.3">
      <c r="A5" s="62">
        <v>1</v>
      </c>
      <c r="B5" s="95" t="s">
        <v>47</v>
      </c>
      <c r="C5" s="97" t="s">
        <v>13</v>
      </c>
      <c r="D5" s="102" t="s">
        <v>48</v>
      </c>
      <c r="E5" s="97">
        <v>927</v>
      </c>
      <c r="F5" s="93">
        <v>44169</v>
      </c>
      <c r="G5" s="93">
        <v>46725</v>
      </c>
    </row>
    <row r="6" spans="1:7" x14ac:dyDescent="0.3">
      <c r="A6" s="62">
        <v>1</v>
      </c>
      <c r="B6" s="99"/>
      <c r="C6" s="100"/>
      <c r="D6" s="103"/>
      <c r="E6" s="100"/>
      <c r="F6" s="94"/>
      <c r="G6" s="94"/>
    </row>
    <row r="7" spans="1:7" ht="14.4" customHeight="1" x14ac:dyDescent="0.3">
      <c r="A7" s="105">
        <v>2</v>
      </c>
      <c r="B7" s="95" t="s">
        <v>49</v>
      </c>
      <c r="C7" s="97" t="s">
        <v>13</v>
      </c>
      <c r="D7" s="101" t="s">
        <v>50</v>
      </c>
      <c r="E7" s="97">
        <v>1600</v>
      </c>
      <c r="F7" s="93">
        <v>45716</v>
      </c>
      <c r="G7" s="93"/>
    </row>
    <row r="8" spans="1:7" ht="14.4" customHeight="1" x14ac:dyDescent="0.3">
      <c r="A8" s="105"/>
      <c r="B8" s="99"/>
      <c r="C8" s="100"/>
      <c r="D8" s="101"/>
      <c r="E8" s="100"/>
      <c r="F8" s="94"/>
      <c r="G8" s="94"/>
    </row>
    <row r="9" spans="1:7" ht="14.4" customHeight="1" x14ac:dyDescent="0.3">
      <c r="A9" s="106">
        <v>1</v>
      </c>
      <c r="B9" s="95" t="s">
        <v>51</v>
      </c>
      <c r="C9" s="110" t="s">
        <v>46</v>
      </c>
      <c r="D9" s="102" t="s">
        <v>144</v>
      </c>
      <c r="E9" s="97">
        <v>1890</v>
      </c>
      <c r="F9" s="93">
        <v>46012</v>
      </c>
      <c r="G9" s="93">
        <v>46053</v>
      </c>
    </row>
    <row r="10" spans="1:7" x14ac:dyDescent="0.3">
      <c r="A10" s="107"/>
      <c r="B10" s="99"/>
      <c r="C10" s="111"/>
      <c r="D10" s="103"/>
      <c r="E10" s="100"/>
      <c r="F10" s="94"/>
      <c r="G10" s="94"/>
    </row>
    <row r="11" spans="1:7" x14ac:dyDescent="0.3">
      <c r="A11" s="62">
        <v>1</v>
      </c>
      <c r="B11" s="35" t="s">
        <v>52</v>
      </c>
      <c r="C11" s="36" t="s">
        <v>53</v>
      </c>
      <c r="D11" s="37" t="s">
        <v>145</v>
      </c>
      <c r="E11" s="33">
        <v>1300</v>
      </c>
      <c r="F11" s="34">
        <v>46023</v>
      </c>
      <c r="G11" s="38">
        <v>46112</v>
      </c>
    </row>
    <row r="12" spans="1:7" ht="14.4" customHeight="1" x14ac:dyDescent="0.3">
      <c r="A12" s="63">
        <v>1</v>
      </c>
      <c r="B12" s="35" t="s">
        <v>54</v>
      </c>
      <c r="C12" s="33" t="s">
        <v>13</v>
      </c>
      <c r="D12" s="30" t="s">
        <v>55</v>
      </c>
      <c r="E12" s="33">
        <v>900</v>
      </c>
      <c r="F12" s="38">
        <v>44169</v>
      </c>
      <c r="G12" s="38">
        <v>46725</v>
      </c>
    </row>
    <row r="13" spans="1:7" ht="14.4" customHeight="1" x14ac:dyDescent="0.3">
      <c r="A13" s="108">
        <v>1</v>
      </c>
      <c r="B13" s="95" t="s">
        <v>56</v>
      </c>
      <c r="C13" s="97" t="s">
        <v>13</v>
      </c>
      <c r="D13" s="30" t="s">
        <v>57</v>
      </c>
      <c r="E13" s="97">
        <v>840.48</v>
      </c>
      <c r="F13" s="93">
        <v>44732</v>
      </c>
      <c r="G13" s="93">
        <v>47289</v>
      </c>
    </row>
    <row r="14" spans="1:7" x14ac:dyDescent="0.3">
      <c r="A14" s="109"/>
      <c r="B14" s="96"/>
      <c r="C14" s="98"/>
      <c r="D14" s="30" t="s">
        <v>58</v>
      </c>
      <c r="E14" s="98"/>
      <c r="F14" s="94"/>
      <c r="G14" s="94"/>
    </row>
    <row r="15" spans="1:7" x14ac:dyDescent="0.3">
      <c r="A15" s="62">
        <v>1</v>
      </c>
      <c r="B15" s="31" t="s">
        <v>59</v>
      </c>
      <c r="C15" s="36" t="s">
        <v>53</v>
      </c>
      <c r="D15" s="30" t="s">
        <v>137</v>
      </c>
      <c r="E15" s="39">
        <v>1280</v>
      </c>
      <c r="F15" s="34">
        <v>45991</v>
      </c>
      <c r="G15" s="34">
        <v>46081</v>
      </c>
    </row>
    <row r="16" spans="1:7" x14ac:dyDescent="0.3">
      <c r="A16" s="62">
        <v>1</v>
      </c>
      <c r="B16" s="31" t="s">
        <v>60</v>
      </c>
      <c r="C16" s="36" t="s">
        <v>53</v>
      </c>
      <c r="D16" s="40" t="s">
        <v>146</v>
      </c>
      <c r="E16" s="41">
        <v>1280</v>
      </c>
      <c r="F16" s="34">
        <v>46029</v>
      </c>
      <c r="G16" s="34">
        <v>46119</v>
      </c>
    </row>
    <row r="17" spans="1:7" ht="15" customHeight="1" x14ac:dyDescent="0.3">
      <c r="A17" s="63">
        <v>1</v>
      </c>
      <c r="B17" s="35" t="s">
        <v>61</v>
      </c>
      <c r="C17" s="33" t="s">
        <v>13</v>
      </c>
      <c r="D17" s="30" t="s">
        <v>62</v>
      </c>
      <c r="E17" s="39">
        <v>900</v>
      </c>
      <c r="F17" s="38">
        <v>44273</v>
      </c>
      <c r="G17" s="38">
        <v>46830</v>
      </c>
    </row>
    <row r="18" spans="1:7" ht="27.6" x14ac:dyDescent="0.3">
      <c r="A18" s="63">
        <v>1</v>
      </c>
      <c r="B18" s="31" t="s">
        <v>63</v>
      </c>
      <c r="C18" s="32" t="s">
        <v>46</v>
      </c>
      <c r="D18" s="30" t="s">
        <v>64</v>
      </c>
      <c r="E18" s="42">
        <v>1280</v>
      </c>
      <c r="F18" s="34">
        <v>45477</v>
      </c>
      <c r="G18" s="34">
        <v>46176</v>
      </c>
    </row>
    <row r="19" spans="1:7" ht="27.6" x14ac:dyDescent="0.3">
      <c r="A19" s="63">
        <v>1</v>
      </c>
      <c r="B19" s="31" t="s">
        <v>65</v>
      </c>
      <c r="C19" s="32" t="s">
        <v>46</v>
      </c>
      <c r="D19" s="43" t="s">
        <v>66</v>
      </c>
      <c r="E19" s="33">
        <v>1280</v>
      </c>
      <c r="F19" s="34">
        <v>46207</v>
      </c>
      <c r="G19" s="34">
        <v>46174</v>
      </c>
    </row>
    <row r="20" spans="1:7" ht="14.4" customHeight="1" x14ac:dyDescent="0.3">
      <c r="A20" s="63">
        <v>1</v>
      </c>
      <c r="B20" s="31" t="s">
        <v>67</v>
      </c>
      <c r="C20" s="33" t="s">
        <v>13</v>
      </c>
      <c r="D20" s="30" t="s">
        <v>68</v>
      </c>
      <c r="E20" s="33">
        <v>850</v>
      </c>
      <c r="F20" s="38">
        <v>44301</v>
      </c>
      <c r="G20" s="38">
        <v>46858</v>
      </c>
    </row>
    <row r="21" spans="1:7" ht="41.4" customHeight="1" x14ac:dyDescent="0.3">
      <c r="A21" s="59"/>
      <c r="B21" s="31" t="s">
        <v>100</v>
      </c>
      <c r="C21" s="39" t="s">
        <v>69</v>
      </c>
      <c r="D21" s="60" t="s">
        <v>70</v>
      </c>
      <c r="E21" s="61">
        <v>959.22</v>
      </c>
      <c r="F21" s="60" t="s">
        <v>71</v>
      </c>
      <c r="G21" s="34">
        <v>48410</v>
      </c>
    </row>
  </sheetData>
  <mergeCells count="32">
    <mergeCell ref="A2:A3"/>
    <mergeCell ref="A7:A8"/>
    <mergeCell ref="A9:A10"/>
    <mergeCell ref="A13:A14"/>
    <mergeCell ref="F2:F3"/>
    <mergeCell ref="B9:B10"/>
    <mergeCell ref="C9:C10"/>
    <mergeCell ref="E9:E10"/>
    <mergeCell ref="E13:E14"/>
    <mergeCell ref="F13:F14"/>
    <mergeCell ref="G2:G3"/>
    <mergeCell ref="B2:B3"/>
    <mergeCell ref="C2:C3"/>
    <mergeCell ref="E2:E3"/>
    <mergeCell ref="E5:E6"/>
    <mergeCell ref="F5:F6"/>
    <mergeCell ref="G5:G6"/>
    <mergeCell ref="B5:B6"/>
    <mergeCell ref="C5:C6"/>
    <mergeCell ref="D5:D6"/>
    <mergeCell ref="G13:G14"/>
    <mergeCell ref="B13:B14"/>
    <mergeCell ref="C13:C14"/>
    <mergeCell ref="G9:G10"/>
    <mergeCell ref="F7:F8"/>
    <mergeCell ref="G7:G8"/>
    <mergeCell ref="B7:B8"/>
    <mergeCell ref="C7:C8"/>
    <mergeCell ref="D7:D8"/>
    <mergeCell ref="E7:E8"/>
    <mergeCell ref="D9:D10"/>
    <mergeCell ref="F9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4470"/>
  <sheetViews>
    <sheetView workbookViewId="0">
      <selection activeCell="G3" sqref="G3:G16"/>
    </sheetView>
  </sheetViews>
  <sheetFormatPr baseColWidth="10" defaultColWidth="11.5546875" defaultRowHeight="14.4" x14ac:dyDescent="0.3"/>
  <cols>
    <col min="1" max="1" width="16.44140625" bestFit="1" customWidth="1"/>
    <col min="2" max="2" width="16.33203125" style="23" bestFit="1" customWidth="1"/>
    <col min="3" max="3" width="35.5546875" bestFit="1" customWidth="1"/>
    <col min="4" max="4" width="27.6640625" bestFit="1" customWidth="1"/>
    <col min="5" max="5" width="17.109375" style="21" bestFit="1" customWidth="1"/>
    <col min="6" max="6" width="20.88671875" style="21" customWidth="1"/>
    <col min="7" max="7" width="13" style="22" bestFit="1" customWidth="1"/>
  </cols>
  <sheetData>
    <row r="1" spans="1:8" s="4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96</v>
      </c>
    </row>
    <row r="2" spans="1:8" s="4" customFormat="1" x14ac:dyDescent="0.3">
      <c r="A2" s="56">
        <v>2</v>
      </c>
      <c r="B2" s="6" t="s">
        <v>79</v>
      </c>
      <c r="C2" s="67" t="s">
        <v>114</v>
      </c>
      <c r="D2" s="52"/>
      <c r="E2" s="8"/>
      <c r="F2" s="8"/>
      <c r="G2" s="65"/>
      <c r="H2" s="56"/>
    </row>
    <row r="3" spans="1:8" s="4" customFormat="1" x14ac:dyDescent="0.3">
      <c r="A3" s="56">
        <v>2</v>
      </c>
      <c r="B3" s="6" t="s">
        <v>81</v>
      </c>
      <c r="C3" s="13" t="s">
        <v>104</v>
      </c>
      <c r="D3" s="7" t="s">
        <v>147</v>
      </c>
      <c r="E3" s="8">
        <v>46029</v>
      </c>
      <c r="F3" s="8">
        <v>46142</v>
      </c>
      <c r="G3" s="16">
        <v>2750</v>
      </c>
      <c r="H3" s="58">
        <v>4125</v>
      </c>
    </row>
    <row r="4" spans="1:8" s="4" customFormat="1" x14ac:dyDescent="0.3">
      <c r="A4" s="56">
        <v>1</v>
      </c>
      <c r="B4" s="6" t="s">
        <v>82</v>
      </c>
      <c r="C4" s="13" t="s">
        <v>104</v>
      </c>
      <c r="D4" s="7" t="s">
        <v>111</v>
      </c>
      <c r="E4" s="8">
        <v>45915</v>
      </c>
      <c r="F4" s="8">
        <v>46081</v>
      </c>
      <c r="G4" s="16">
        <v>1900</v>
      </c>
      <c r="H4" s="58">
        <v>3800</v>
      </c>
    </row>
    <row r="5" spans="1:8" s="4" customFormat="1" x14ac:dyDescent="0.3">
      <c r="A5" s="56">
        <v>1</v>
      </c>
      <c r="B5" s="6" t="s">
        <v>83</v>
      </c>
      <c r="C5" s="13" t="s">
        <v>104</v>
      </c>
      <c r="D5" s="7" t="s">
        <v>112</v>
      </c>
      <c r="E5" s="8">
        <v>45922</v>
      </c>
      <c r="F5" s="8">
        <v>46258</v>
      </c>
      <c r="G5" s="16">
        <v>1850</v>
      </c>
      <c r="H5" s="58">
        <v>3700</v>
      </c>
    </row>
    <row r="6" spans="1:8" s="4" customFormat="1" x14ac:dyDescent="0.3">
      <c r="A6" s="56">
        <v>2</v>
      </c>
      <c r="B6" s="6" t="s">
        <v>84</v>
      </c>
      <c r="C6" s="13" t="s">
        <v>136</v>
      </c>
      <c r="D6" s="7" t="s">
        <v>101</v>
      </c>
      <c r="E6" s="8">
        <v>45884</v>
      </c>
      <c r="F6" s="8">
        <v>46173</v>
      </c>
      <c r="G6" s="16">
        <v>2500</v>
      </c>
      <c r="H6" s="58">
        <v>5000</v>
      </c>
    </row>
    <row r="7" spans="1:8" s="4" customFormat="1" x14ac:dyDescent="0.3">
      <c r="A7" s="56">
        <v>2</v>
      </c>
      <c r="B7" s="6" t="s">
        <v>85</v>
      </c>
      <c r="C7" s="13" t="s">
        <v>104</v>
      </c>
      <c r="D7" s="7" t="s">
        <v>105</v>
      </c>
      <c r="E7" s="57">
        <v>45894</v>
      </c>
      <c r="F7" s="57">
        <v>46173</v>
      </c>
      <c r="G7" s="16">
        <v>2500</v>
      </c>
      <c r="H7" s="58">
        <v>5000</v>
      </c>
    </row>
    <row r="8" spans="1:8" s="4" customFormat="1" x14ac:dyDescent="0.3">
      <c r="A8" s="56">
        <v>1</v>
      </c>
      <c r="B8" s="6" t="s">
        <v>86</v>
      </c>
      <c r="C8" s="13" t="s">
        <v>104</v>
      </c>
      <c r="D8" s="7" t="s">
        <v>106</v>
      </c>
      <c r="E8" s="8">
        <v>45884</v>
      </c>
      <c r="F8" s="8">
        <v>46234</v>
      </c>
      <c r="G8" s="16">
        <v>1800</v>
      </c>
      <c r="H8" s="58">
        <v>3600</v>
      </c>
    </row>
    <row r="9" spans="1:8" s="4" customFormat="1" x14ac:dyDescent="0.3">
      <c r="A9" s="56">
        <v>1</v>
      </c>
      <c r="B9" s="6" t="s">
        <v>87</v>
      </c>
      <c r="C9" s="13" t="s">
        <v>80</v>
      </c>
      <c r="D9" s="7" t="s">
        <v>102</v>
      </c>
      <c r="E9" s="8">
        <v>45870</v>
      </c>
      <c r="F9" s="8">
        <v>46173</v>
      </c>
      <c r="G9" s="16">
        <v>1750</v>
      </c>
      <c r="H9" s="58">
        <v>2625</v>
      </c>
    </row>
    <row r="10" spans="1:8" s="4" customFormat="1" x14ac:dyDescent="0.3">
      <c r="A10" s="56">
        <v>2</v>
      </c>
      <c r="B10" s="6" t="s">
        <v>88</v>
      </c>
      <c r="C10" s="13" t="s">
        <v>80</v>
      </c>
      <c r="D10" s="7" t="s">
        <v>148</v>
      </c>
      <c r="E10" s="8">
        <v>46032</v>
      </c>
      <c r="F10" s="8">
        <v>46188</v>
      </c>
      <c r="G10" s="16">
        <v>2700</v>
      </c>
      <c r="H10" s="58">
        <v>5400</v>
      </c>
    </row>
    <row r="11" spans="1:8" s="4" customFormat="1" x14ac:dyDescent="0.3">
      <c r="A11" s="56">
        <v>2</v>
      </c>
      <c r="B11" s="6" t="s">
        <v>89</v>
      </c>
      <c r="C11" s="13" t="s">
        <v>104</v>
      </c>
      <c r="D11" s="7" t="s">
        <v>113</v>
      </c>
      <c r="E11" s="8">
        <v>45901</v>
      </c>
      <c r="F11" s="8">
        <v>46234</v>
      </c>
      <c r="G11" s="16">
        <v>2600</v>
      </c>
      <c r="H11" s="58">
        <v>5200</v>
      </c>
    </row>
    <row r="12" spans="1:8" s="4" customFormat="1" x14ac:dyDescent="0.3">
      <c r="A12" s="56">
        <v>1</v>
      </c>
      <c r="B12" s="6" t="s">
        <v>90</v>
      </c>
      <c r="C12" s="13" t="s">
        <v>80</v>
      </c>
      <c r="D12" s="7" t="s">
        <v>98</v>
      </c>
      <c r="E12" s="8">
        <v>45839</v>
      </c>
      <c r="F12" s="8">
        <v>46173</v>
      </c>
      <c r="G12" s="16">
        <v>1900</v>
      </c>
      <c r="H12" s="58">
        <v>1900</v>
      </c>
    </row>
    <row r="13" spans="1:8" s="4" customFormat="1" x14ac:dyDescent="0.3">
      <c r="A13" s="56">
        <v>1</v>
      </c>
      <c r="B13" s="6" t="s">
        <v>91</v>
      </c>
      <c r="C13" s="13" t="s">
        <v>104</v>
      </c>
      <c r="D13" s="7" t="s">
        <v>149</v>
      </c>
      <c r="E13" s="8">
        <v>46023</v>
      </c>
      <c r="F13" s="8">
        <v>46157</v>
      </c>
      <c r="G13" s="16">
        <v>1900</v>
      </c>
      <c r="H13" s="58">
        <v>3800</v>
      </c>
    </row>
    <row r="14" spans="1:8" s="4" customFormat="1" x14ac:dyDescent="0.3">
      <c r="A14" s="56">
        <v>3</v>
      </c>
      <c r="B14" s="6" t="s">
        <v>92</v>
      </c>
      <c r="C14" s="13" t="s">
        <v>80</v>
      </c>
      <c r="D14" s="7" t="s">
        <v>93</v>
      </c>
      <c r="E14" s="8">
        <v>45809</v>
      </c>
      <c r="F14" s="8">
        <v>46142</v>
      </c>
      <c r="G14" s="16">
        <v>4000</v>
      </c>
      <c r="H14" s="58">
        <v>8000</v>
      </c>
    </row>
    <row r="15" spans="1:8" s="4" customFormat="1" x14ac:dyDescent="0.3">
      <c r="A15" s="56">
        <v>2</v>
      </c>
      <c r="B15" s="6" t="s">
        <v>94</v>
      </c>
      <c r="C15" s="13" t="s">
        <v>104</v>
      </c>
      <c r="D15" s="7" t="s">
        <v>108</v>
      </c>
      <c r="E15" s="8">
        <v>45884</v>
      </c>
      <c r="F15" s="8">
        <v>46203</v>
      </c>
      <c r="G15" s="16">
        <v>2500</v>
      </c>
      <c r="H15" s="56">
        <v>5000</v>
      </c>
    </row>
    <row r="16" spans="1:8" s="4" customFormat="1" x14ac:dyDescent="0.3">
      <c r="A16" s="56">
        <v>1</v>
      </c>
      <c r="B16" s="6" t="s">
        <v>95</v>
      </c>
      <c r="C16" s="13" t="s">
        <v>104</v>
      </c>
      <c r="D16" s="7" t="s">
        <v>107</v>
      </c>
      <c r="E16" s="8">
        <v>45901</v>
      </c>
      <c r="F16" s="8">
        <v>46203</v>
      </c>
      <c r="G16" s="16">
        <v>1850</v>
      </c>
      <c r="H16" s="56">
        <v>3700</v>
      </c>
    </row>
    <row r="17" spans="6:6" x14ac:dyDescent="0.3">
      <c r="F17" s="23"/>
    </row>
    <row r="18" spans="6:6" x14ac:dyDescent="0.3">
      <c r="F18" s="24"/>
    </row>
    <row r="186" spans="3:4" x14ac:dyDescent="0.3">
      <c r="C186" s="25"/>
      <c r="D186" s="25">
        <v>45096</v>
      </c>
    </row>
    <row r="4470" spans="20:20" x14ac:dyDescent="0.3">
      <c r="T4470" s="26" t="s">
        <v>37</v>
      </c>
    </row>
  </sheetData>
  <pageMargins left="0.7" right="0.7" top="0.75" bottom="0.75" header="0.3" footer="0.3"/>
  <pageSetup paperSize="9" scale="10" orientation="landscape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F3" sqref="F3:F4"/>
    </sheetView>
  </sheetViews>
  <sheetFormatPr baseColWidth="10" defaultRowHeight="14.4" x14ac:dyDescent="0.3"/>
  <cols>
    <col min="1" max="1" width="15.6640625" style="21" customWidth="1"/>
    <col min="2" max="3" width="23.5546875" customWidth="1"/>
    <col min="4" max="4" width="32.6640625" bestFit="1" customWidth="1"/>
    <col min="5" max="5" width="16.44140625" style="21" bestFit="1" customWidth="1"/>
    <col min="6" max="6" width="11.5546875" style="21"/>
  </cols>
  <sheetData>
    <row r="1" spans="1:6" ht="28.8" x14ac:dyDescent="0.3">
      <c r="A1" s="1" t="s">
        <v>0</v>
      </c>
      <c r="B1" s="1" t="s">
        <v>1</v>
      </c>
      <c r="C1" s="1" t="s">
        <v>2</v>
      </c>
      <c r="D1" s="2" t="s">
        <v>72</v>
      </c>
      <c r="E1" s="2" t="s">
        <v>4</v>
      </c>
      <c r="F1" s="3" t="s">
        <v>6</v>
      </c>
    </row>
    <row r="2" spans="1:6" x14ac:dyDescent="0.3">
      <c r="A2" s="53"/>
      <c r="B2" s="46" t="s">
        <v>73</v>
      </c>
      <c r="C2" s="112" t="s">
        <v>74</v>
      </c>
      <c r="D2" s="113"/>
      <c r="E2" s="113"/>
      <c r="F2" s="114"/>
    </row>
    <row r="3" spans="1:6" s="51" customFormat="1" ht="28.8" x14ac:dyDescent="0.3">
      <c r="A3" s="56">
        <v>4</v>
      </c>
      <c r="B3" s="47" t="s">
        <v>75</v>
      </c>
      <c r="C3" s="55" t="s">
        <v>13</v>
      </c>
      <c r="D3" s="48" t="s">
        <v>76</v>
      </c>
      <c r="E3" s="49">
        <v>45397</v>
      </c>
      <c r="F3" s="50">
        <v>713.86</v>
      </c>
    </row>
    <row r="4" spans="1:6" x14ac:dyDescent="0.3">
      <c r="A4" s="53">
        <v>2</v>
      </c>
      <c r="B4" s="46" t="s">
        <v>77</v>
      </c>
      <c r="C4" s="46" t="s">
        <v>13</v>
      </c>
      <c r="D4" s="52" t="s">
        <v>78</v>
      </c>
      <c r="E4" s="54">
        <v>45705</v>
      </c>
      <c r="F4" s="53">
        <v>675</v>
      </c>
    </row>
  </sheetData>
  <mergeCells count="1">
    <mergeCell ref="C2:F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MANUEL SILVELA</vt:lpstr>
      <vt:lpstr>HERNANDEZ DE TEJADA</vt:lpstr>
      <vt:lpstr>CANDELARIA MORA</vt:lpstr>
      <vt:lpstr>REINA</vt:lpstr>
      <vt:lpstr>M.PELAYO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eguti</dc:creator>
  <cp:lastModifiedBy>David Villagrá Blanco</cp:lastModifiedBy>
  <cp:lastPrinted>2025-06-30T08:20:56Z</cp:lastPrinted>
  <dcterms:created xsi:type="dcterms:W3CDTF">2025-06-18T07:04:56Z</dcterms:created>
  <dcterms:modified xsi:type="dcterms:W3CDTF">2026-01-22T09:20:04Z</dcterms:modified>
</cp:coreProperties>
</file>